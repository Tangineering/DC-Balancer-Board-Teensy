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ife Ops\School\Thesis\DC-Balancer-Board-Teensy\references\"/>
    </mc:Choice>
  </mc:AlternateContent>
  <xr:revisionPtr revIDLastSave="0" documentId="13_ncr:1_{6AFC15E9-0F80-485B-8B6B-35B962E17810}" xr6:coauthVersionLast="47" xr6:coauthVersionMax="47" xr10:uidLastSave="{00000000-0000-0000-0000-000000000000}"/>
  <bookViews>
    <workbookView xWindow="38280" yWindow="6765" windowWidth="29040" windowHeight="15720" tabRatio="500" xr2:uid="{00000000-000D-0000-FFFF-FFFF00000000}"/>
  </bookViews>
  <sheets>
    <sheet name="Signal Table" sheetId="1" r:id="rId1"/>
    <sheet name="Packet Format" sheetId="2" r:id="rId2"/>
    <sheet name="Safety &amp; Timeouts" sheetId="3" r:id="rId3"/>
    <sheet name="Fuel Cell Efficiency" sheetId="4" r:id="rId4"/>
    <sheet name="Interface Config" sheetId="5" r:id="rId5"/>
  </sheets>
  <calcPr calcId="0" iterateDelta="1E-4"/>
</workbook>
</file>

<file path=xl/sharedStrings.xml><?xml version="1.0" encoding="utf-8"?>
<sst xmlns="http://schemas.openxmlformats.org/spreadsheetml/2006/main" count="847" uniqueCount="508">
  <si>
    <t>FCHEV Scaled Test Platform — Signal Definition Table</t>
  </si>
  <si>
    <t>Raspberry Pi 5 (EMS)  ↔  Teensy 4.1 (Low-Level Control)  |  UC Davis Future Mobility Lab  |  Rev 2026-06-23A  |  Telemetry protocol v4 (58-byte) — 20260622 board  |  Interface: Ethernet (UDP)  |  FC: H-20 PEM 20W</t>
  </si>
  <si>
    <t>Signal Name</t>
  </si>
  <si>
    <t>Description</t>
  </si>
  <si>
    <t>Direction</t>
  </si>
  <si>
    <t>Owner</t>
  </si>
  <si>
    <t>Units</t>
  </si>
  <si>
    <t>Sample Rate
(Hz)</t>
  </si>
  <si>
    <t>Min Value</t>
  </si>
  <si>
    <t>Max Value</t>
  </si>
  <si>
    <t>Nominal / Typical</t>
  </si>
  <si>
    <t>Fallback Value</t>
  </si>
  <si>
    <t>Fallback Action</t>
  </si>
  <si>
    <t>Interface</t>
  </si>
  <si>
    <t>Priority</t>
  </si>
  <si>
    <t>Notes</t>
  </si>
  <si>
    <t>TEENSY → PI  (Telemetry / Sensor Feedback)</t>
  </si>
  <si>
    <t>v_actual</t>
  </si>
  <si>
    <t>Actual vehicle / flywheel speed</t>
  </si>
  <si>
    <t>Teensy → Pi</t>
  </si>
  <si>
    <t>Teensy</t>
  </si>
  <si>
    <t>m/s</t>
  </si>
  <si>
    <t>3–8</t>
  </si>
  <si>
    <t>hold last</t>
  </si>
  <si>
    <t>Hold last valid value; flag stale after 100 ms</t>
  </si>
  <si>
    <t>Ethernet</t>
  </si>
  <si>
    <t>HIGH</t>
  </si>
  <si>
    <t>Derived from flywheel encoder RPM via gear ratio</t>
  </si>
  <si>
    <t>V_batt</t>
  </si>
  <si>
    <t>Battery terminal voltage (2S LiPo)</t>
  </si>
  <si>
    <t>V</t>
  </si>
  <si>
    <t>7.2–7.6</t>
  </si>
  <si>
    <t>Hold; disable charging command if stale &gt;200 ms</t>
  </si>
  <si>
    <t>Measured at battery terminals before boost regulator</t>
  </si>
  <si>
    <t>I_batt</t>
  </si>
  <si>
    <t>Battery discharge current at bus voltage</t>
  </si>
  <si>
    <t>A</t>
  </si>
  <si>
    <t>1–2</t>
  </si>
  <si>
    <t>0</t>
  </si>
  <si>
    <t>Set to 0; EMS assumes no battery flow</t>
  </si>
  <si>
    <t>From current monitor in battery droop circuit</t>
  </si>
  <si>
    <t>I_charge</t>
  </si>
  <si>
    <t>Battery charge current at battery voltage</t>
  </si>
  <si>
    <t>0–3.4</t>
  </si>
  <si>
    <t>Set to 0; EMS assumes no charging</t>
  </si>
  <si>
    <t>From Ag105 MPPT charger I2C reg 0x06 (0.011 A/count), polled at 50 Hz; separate from I_batt</t>
  </si>
  <si>
    <t>V_fc</t>
  </si>
  <si>
    <t>Fuel cell stack voltage (H-20)</t>
  </si>
  <si>
    <t>7.8–10</t>
  </si>
  <si>
    <t>Hold; zero FC power command if stale &gt;200 ms</t>
  </si>
  <si>
    <t>Measured at FC terminals. OCV=12.2V, rated=7.8V @ 2.6A</t>
  </si>
  <si>
    <t>I_fc</t>
  </si>
  <si>
    <t>Fuel cell current at bus voltage</t>
  </si>
  <si>
    <t>0.5–1.5</t>
  </si>
  <si>
    <t>Set to 0; switch to battery-only mode</t>
  </si>
  <si>
    <t>From current monitor in FC droop circuit. Max ~1.73A at bus</t>
  </si>
  <si>
    <t>P_fc_actual</t>
  </si>
  <si>
    <t>Actual FC power delivered to bus</t>
  </si>
  <si>
    <t>W</t>
  </si>
  <si>
    <t>5–15</t>
  </si>
  <si>
    <t>EMS assumes zero FC contribution</t>
  </si>
  <si>
    <t>V_bus x I_fc. H-20 rated 20W, max ~24W short-term</t>
  </si>
  <si>
    <t>P_batt_actual</t>
  </si>
  <si>
    <t>Actual battery power (+ = discharge)</t>
  </si>
  <si>
    <t>10–60</t>
  </si>
  <si>
    <t>EMS assumes zero battery flow</t>
  </si>
  <si>
    <t>V_bus x I_batt. Neg = charging</t>
  </si>
  <si>
    <t>V_bus</t>
  </si>
  <si>
    <t>DC bus voltage (boost regulator output)</t>
  </si>
  <si>
    <t>17–18</t>
  </si>
  <si>
    <t>Hold; flag BUS_VOLTAGE_FAULT if stale</t>
  </si>
  <si>
    <t>Target 18V. Monitored to detect droop / collapse</t>
  </si>
  <si>
    <t>V_rgn</t>
  </si>
  <si>
    <t>Regen-node voltage (RGN_VOLTAGE)</t>
  </si>
  <si>
    <t>0–24</t>
  </si>
  <si>
    <t>Log as 0; EMS uses P_demand from drive cycle</t>
  </si>
  <si>
    <t>MED</t>
  </si>
  <si>
    <t>ADC pin 39. Replaces P_motor_actual (no longer in telemetry packet)</t>
  </si>
  <si>
    <t>motor_cmd_echo</t>
  </si>
  <si>
    <t>Motor current command echoed from VESC</t>
  </si>
  <si>
    <t>1–20</t>
  </si>
  <si>
    <t>Log discrepancy if echo != Pi command</t>
  </si>
  <si>
    <t>Exact format TBD depending on VESC telemetry packet</t>
  </si>
  <si>
    <t>V_chg</t>
  </si>
  <si>
    <t>Charger input voltage (CHG_VOLTAGE)</t>
  </si>
  <si>
    <t>Flag if differs from Pi command by &gt;10%</t>
  </si>
  <si>
    <t>ADC pin 38. Replaces power_share_echo (no longer in telemetry packet)</t>
  </si>
  <si>
    <t>power_share_actual</t>
  </si>
  <si>
    <t>Actual FC share of total power delivered</t>
  </si>
  <si>
    <t>—</t>
  </si>
  <si>
    <t>0–1</t>
  </si>
  <si>
    <t>Log only; no direct fallback action</t>
  </si>
  <si>
    <t>I_fc / (I_fc + I_batt), or P_fc_actual / P_motor_actual</t>
  </si>
  <si>
    <t>droop_gain_FC_actual</t>
  </si>
  <si>
    <t>Droop gain applied by FC MDAC (AD5443)</t>
  </si>
  <si>
    <t>cnts</t>
  </si>
  <si>
    <t>500–2000</t>
  </si>
  <si>
    <t>Log and flag if differs from Pi command &gt;5%</t>
  </si>
  <si>
    <t>Normalized Q16 (fraction × 65535). AD5443 12-bit MDAC; controls FC V-I droop slope</t>
  </si>
  <si>
    <t>droop_gain_BT_actual</t>
  </si>
  <si>
    <t>Droop gain applied by battery MDAC (AD5443)</t>
  </si>
  <si>
    <t>Normalized Q16 (fraction × 65535). AD5443 12-bit MDAC; controls battery V-I droop slope</t>
  </si>
  <si>
    <t>charger_status</t>
  </si>
  <si>
    <t>Ag105 MPPT charger status byte (raw, Table 6)</t>
  </si>
  <si>
    <t>bits</t>
  </si>
  <si>
    <t>0x4A typ</t>
  </si>
  <si>
    <t>last</t>
  </si>
  <si>
    <t>Pi reads charger state; enter SAFE on fault GENSTAT</t>
  </si>
  <si>
    <t>Raw Ag105 Table 6 status byte (ag105_status_raw), packet offset 51. GENSTAT b0-2: 0=Batt Disconnect,1=Low Power,2=Charging,3=Full,4=Bring-Up,5=OC/Reg err,6=Thermal SD,7=Timeout err; b3 MPPT-EN, b4 Power-Track, b5 CV, b6 CC, b7 Thermal-Limit. Restores old off/CC/CV/fault telemetry</t>
  </si>
  <si>
    <t>switch_state</t>
  </si>
  <si>
    <t>RT1987 power-path switch states (bitmask)</t>
  </si>
  <si>
    <t>0x00–0x3F</t>
  </si>
  <si>
    <t>Assume charger OFF; do not send charge_goal</t>
  </si>
  <si>
    <t>SW_FC_BUS 0x01, SW_BT_BUS 0x02, SW_MOT_PWR 0x04, SW_REGEN 0x08, SW_FC_CHARGE 0x10, SW_BT_SEQ 0x20</t>
  </si>
  <si>
    <t>fault_flags</t>
  </si>
  <si>
    <t>Teensy-level fault bitmask</t>
  </si>
  <si>
    <t>Pi reads faults; escalate if any bit set</t>
  </si>
  <si>
    <t>uint16 LE: 0x0001 OC_FC, 0x0002 UV_BATT, 0x0004 OV_BUS, 0x0008 SWITCH_CONFLICT, 0x0010 PI_TIMEOUT, 0x0020 OV_BATT, 0x0040 UV_FC, 0x0080 OC_BT, 0x0100 UV_BUS, 0x0200 OV_RGN, 0x0400 OV_CHG, 0x0800 I2C_CHARGER, 0x1000 CHARGER_STAT, 0x2000 INIT_FAIL, 0x8000 ERROR</t>
  </si>
  <si>
    <t>pkt_counter_T</t>
  </si>
  <si>
    <t>Packet sequence counter (Teensy side)</t>
  </si>
  <si>
    <t>uint</t>
  </si>
  <si>
    <t>N/A</t>
  </si>
  <si>
    <t>Pi checks for dropped packets</t>
  </si>
  <si>
    <t>Wraps at 65535; Pi detects gap &gt; 1 as dropped packet</t>
  </si>
  <si>
    <t>error_code</t>
  </si>
  <si>
    <t>Latched primary fault cause (State-99 entry)</t>
  </si>
  <si>
    <t>enum</t>
  </si>
  <si>
    <t>Pi logs/diagnoses State-99 cause</t>
  </si>
  <si>
    <t>ErrorCode_t 0x00=NONE … 0x0E=INIT_FAIL; latches on first fault</t>
  </si>
  <si>
    <t>error_source_state</t>
  </si>
  <si>
    <t>mainState at time of first fault</t>
  </si>
  <si>
    <t>Diagnostic only</t>
  </si>
  <si>
    <t>State machine value when error_code latched (0/1/2/3/99)</t>
  </si>
  <si>
    <t>PI → TEENSY  (EMS Commands / Supervisory)</t>
  </si>
  <si>
    <t>v_setpoint</t>
  </si>
  <si>
    <t>Target velocity for low-level driver control</t>
  </si>
  <si>
    <t>Pi → Teensy</t>
  </si>
  <si>
    <t>Pi</t>
  </si>
  <si>
    <t>3–10</t>
  </si>
  <si>
    <t>hold 500ms then 0</t>
  </si>
  <si>
    <t>Teensy ramps torque to 0 if no fresh cmd in 500 ms</t>
  </si>
  <si>
    <t>Set by drive cycle playback on Pi; EMS may modify</t>
  </si>
  <si>
    <t>power_share_setpoint</t>
  </si>
  <si>
    <t>Target FC share of total power (0=batt, 1=FC)</t>
  </si>
  <si>
    <t>0.3–0.7</t>
  </si>
  <si>
    <t>0.5</t>
  </si>
  <si>
    <t>Teensy uses 50/50 as neutral fallback</t>
  </si>
  <si>
    <t>SDP/Fuzzy/SMPC output. Teensy maps to droop gain commands</t>
  </si>
  <si>
    <t>charge_goal</t>
  </si>
  <si>
    <t>Target battery charge current</t>
  </si>
  <si>
    <t>0–2.5</t>
  </si>
  <si>
    <t>Disable charging; safe default</t>
  </si>
  <si>
    <t>0=no charging. Maps to Ag105 MPPT enable/disable + 2.5A profile (no per-mA register). Max 2.5A</t>
  </si>
  <si>
    <t>mode_cmd</t>
  </si>
  <si>
    <t>Supervisory operating mode selection</t>
  </si>
  <si>
    <t>Hold last mode 500ms then switch to SAFE (4)</t>
  </si>
  <si>
    <t>0=HYBRID, 1=FC_ONLY, 2=BATT_ONLY, 3=CHARGE, 4=SAFE</t>
  </si>
  <si>
    <t>droop_cmd_enable</t>
  </si>
  <si>
    <t>Enable droop injection via MDACs</t>
  </si>
  <si>
    <t>bool</t>
  </si>
  <si>
    <t>1</t>
  </si>
  <si>
    <t>Disable droop; Teensy holds fixed power split</t>
  </si>
  <si>
    <t>RESERVED — parsed but not yet wired to hardware (firmware discards it). 1=use MDAC droop, 0=bypass (intended). Must be 0 in SAFE mode</t>
  </si>
  <si>
    <t>pkt_counter_Pi</t>
  </si>
  <si>
    <t>Packet sequence counter (Pi side)</t>
  </si>
  <si>
    <t>Teensy checks freshness; triggers watchdog on stall</t>
  </si>
  <si>
    <t>Teensy detects Pi timeout if counter stops incrementing</t>
  </si>
  <si>
    <t>PI INTERNAL  (Computed / Drive Cycle)</t>
  </si>
  <si>
    <t>v_ref</t>
  </si>
  <si>
    <t>Reference speed from drive cycle</t>
  </si>
  <si>
    <t>Internal</t>
  </si>
  <si>
    <t>Stop vehicle; end run</t>
  </si>
  <si>
    <t>Software</t>
  </si>
  <si>
    <t>Loaded from UDDS/HWFET CSV; replayed at real time</t>
  </si>
  <si>
    <t>P_demand</t>
  </si>
  <si>
    <t>Power demand estimate from drive cycle</t>
  </si>
  <si>
    <t>10–80</t>
  </si>
  <si>
    <t>Hold last P_demand; flag if drive cycle lost</t>
  </si>
  <si>
    <t>Estimated from v_ref, accel, vehicle mass model. Max ~150W scaled</t>
  </si>
  <si>
    <t>SOC_estimate</t>
  </si>
  <si>
    <t>EMS internal SOC (pass-through from Teensy)</t>
  </si>
  <si>
    <t>0.45–0.65</t>
  </si>
  <si>
    <t>freeze</t>
  </si>
  <si>
    <t>Freeze; use Teensy V_batt-based SOC as override</t>
  </si>
  <si>
    <t>SDP trained on [0.30, 0.80]. Clamp + warn if outside range</t>
  </si>
  <si>
    <t>EMS_mode_active</t>
  </si>
  <si>
    <t>Which EMS algorithm is currently running</t>
  </si>
  <si>
    <t>Fallback to Fuzzy if SDP/SMPC fails</t>
  </si>
  <si>
    <t>LOW</t>
  </si>
  <si>
    <t>0=FUZZY, 1=SDP, 2=SMPC; logged in data bag</t>
  </si>
  <si>
    <t>solver_time_ms</t>
  </si>
  <si>
    <t>EMS solver runtime per control step</t>
  </si>
  <si>
    <t>ms</t>
  </si>
  <si>
    <t>0.1–0.5</t>
  </si>
  <si>
    <t>If SMPC &gt;period, use previous solution + flag warning</t>
  </si>
  <si>
    <t>SDP: ~0.15ms. Fuzzy: ~0.05ms. SMPC: TBD. Budget=50ms@20Hz</t>
  </si>
  <si>
    <t>UDP Packet Definitions — Teensy 4.1  ↔  Raspberry Pi 5  |  Interface: Ethernet (UDP)</t>
  </si>
  <si>
    <t>Teensy uses NativeEthernet + EthernetUDP library  |  Pi uses Python socket (UDP)  |  Both on same LAN subnet  |  Teensy IP: 192.168.1.50  |  Pi IP: 192.168.1.100  |  Port: 5000</t>
  </si>
  <si>
    <t>PACKET A: Teensy → Pi  (Telemetry)  |  58 bytes @ 50 Hz  ≈  23.2 kbps</t>
  </si>
  <si>
    <t>Byte Offset</t>
  </si>
  <si>
    <t>Field Name</t>
  </si>
  <si>
    <t>C Type</t>
  </si>
  <si>
    <t>Size (bytes)</t>
  </si>
  <si>
    <t>Scale / Range</t>
  </si>
  <si>
    <t>Min Raw</t>
  </si>
  <si>
    <t>header</t>
  </si>
  <si>
    <t>uint8_t</t>
  </si>
  <si>
    <t>0xAA (fixed sync)</t>
  </si>
  <si>
    <t>0xAA</t>
  </si>
  <si>
    <t>Fixed sync byte</t>
  </si>
  <si>
    <t>timestamp_ms</t>
  </si>
  <si>
    <t>uint32_t</t>
  </si>
  <si>
    <t>0 – 4,294,967,295</t>
  </si>
  <si>
    <t>Teensy millis() counter</t>
  </si>
  <si>
    <t>pkt_counter</t>
  </si>
  <si>
    <t>uint16_t</t>
  </si>
  <si>
    <t>0 – 65535 (wraps)</t>
  </si>
  <si>
    <t>Pi detects dropped packets on gap &gt; 1</t>
  </si>
  <si>
    <t>float</t>
  </si>
  <si>
    <t>0 – 15</t>
  </si>
  <si>
    <t>Flywheel-derived vehicle speed</t>
  </si>
  <si>
    <t>6.0 – 8.4 (2S LiPo)</t>
  </si>
  <si>
    <t>6.0</t>
  </si>
  <si>
    <t>Battery terminal voltage</t>
  </si>
  <si>
    <t>0 – 9.33 (discharge)</t>
  </si>
  <si>
    <t>Positive = discharge</t>
  </si>
  <si>
    <t>0 – 2.5 (Ag105 reg 0x06)</t>
  </si>
  <si>
    <t>From Ag105 I2C reg 0x06 × 0.011 A/count; polled 50 Hz; separate from I_batt</t>
  </si>
  <si>
    <t>6.0 – 12.2 (H-20)</t>
  </si>
  <si>
    <t>OCV 12.2V; rated 7.8V @ 2.6A</t>
  </si>
  <si>
    <t>0 – 1.73 (at bus voltage)</t>
  </si>
  <si>
    <t>At bus (18V); FC max ~24W / 18V = 1.33A nominal</t>
  </si>
  <si>
    <t>15 – 18 (boosted)</t>
  </si>
  <si>
    <t>15</t>
  </si>
  <si>
    <t>Target 18V DC bus</t>
  </si>
  <si>
    <t>0 – 28 (regen node)</t>
  </si>
  <si>
    <t>Regen-node voltage, ADC pin 39 (replaces P_motor_actual)</t>
  </si>
  <si>
    <t>0 – 24 (charger input)</t>
  </si>
  <si>
    <t>Charger input voltage, ADC pin 38 (replaces power_share_echo)</t>
  </si>
  <si>
    <t>0.0 – 1.0</t>
  </si>
  <si>
    <t>I_fc / (I_fc + I_batt)</t>
  </si>
  <si>
    <t>droop_gain_FC</t>
  </si>
  <si>
    <t>0 – 65535 (Q16, AD5443)</t>
  </si>
  <si>
    <t>FC droop, normalized × 65535 (AD5443 12-bit MDAC)</t>
  </si>
  <si>
    <t>droop_gain_BT</t>
  </si>
  <si>
    <t>BT droop, normalized × 65535 (AD5443 12-bit MDAC)</t>
  </si>
  <si>
    <t>Ag105 Table 6 status byte</t>
  </si>
  <si>
    <t>Raw Ag105 MPPT status (ag105_status_raw): GENSTAT b0-2, CV b5, CC b6, Thermal-Limit b7; Pi decodes off/CC/CV/fault. Reinstated v4</t>
  </si>
  <si>
    <t>bitmask (see notes)</t>
  </si>
  <si>
    <t>RT1987 switches: FC_BUS 0x01, BT_BUS 0x02, MOT_PWR 0x04, REGEN 0x08, FC_CHARGE 0x10, BT_SEQ 0x20</t>
  </si>
  <si>
    <t>uint16 LE bitmask (see Signal Table)</t>
  </si>
  <si>
    <t>16-bit LE fault bitmask; any bit set → Pi enters SAFE</t>
  </si>
  <si>
    <t>0x00 – 0x0E</t>
  </si>
  <si>
    <t>Latched primary State-99 cause (ErrorCode_t)</t>
  </si>
  <si>
    <t>0 – 99</t>
  </si>
  <si>
    <t>checksum</t>
  </si>
  <si>
    <t>XOR bytes 1–56</t>
  </si>
  <si>
    <t>Pi discards packet on mismatch</t>
  </si>
  <si>
    <t>TOTAL PACKET SIZE: 58 bytes</t>
  </si>
  <si>
    <t>PACKET B: Pi → Teensy  (Commands)   |  22 bytes @ 20 Hz  ≈  3.5 kbps</t>
  </si>
  <si>
    <t>0xBB (fixed sync)</t>
  </si>
  <si>
    <t>0xBB</t>
  </si>
  <si>
    <t>Pi monotonic ms</t>
  </si>
  <si>
    <t>Pi time.monotonic() * 1000</t>
  </si>
  <si>
    <t>Teensy watchdog resets if counter stalls</t>
  </si>
  <si>
    <t>Drive cycle reference speed</t>
  </si>
  <si>
    <t>0=battery only, 1=FC only</t>
  </si>
  <si>
    <t>0 – 6.4</t>
  </si>
  <si>
    <t>0 = no charging</t>
  </si>
  <si>
    <t>0=HYB,1=FC,2=BT,3=CHG,4=SAFE</t>
  </si>
  <si>
    <t>Operating mode</t>
  </si>
  <si>
    <t>0=off, 1=on</t>
  </si>
  <si>
    <t>Enable MDAC droop injection</t>
  </si>
  <si>
    <t>XOR bytes 1–20</t>
  </si>
  <si>
    <t>Teensy discards on mismatch</t>
  </si>
  <si>
    <t>TOTAL PACKET SIZE: 22 bytes</t>
  </si>
  <si>
    <t>Safety Rules, Timeouts &amp; Fallback Logic  |  Rev 2026-03-16A</t>
  </si>
  <si>
    <t>Rule #</t>
  </si>
  <si>
    <t>Trigger Condition</t>
  </si>
  <si>
    <t>Timeout / Threshold</t>
  </si>
  <si>
    <t>Immediate Action</t>
  </si>
  <si>
    <t>Recovery Condition</t>
  </si>
  <si>
    <t>S-01</t>
  </si>
  <si>
    <t>No Pi→Teensy UDP packet received</t>
  </si>
  <si>
    <t>&gt; 500 ms</t>
  </si>
  <si>
    <t>Ramp v_setpoint → 0 over 1 s; disable charger; mode=SAFE</t>
  </si>
  <si>
    <t>Fresh Pi UDP packet received</t>
  </si>
  <si>
    <t>Hard real-time watchdog on Teensy; Pi OS is not real-time</t>
  </si>
  <si>
    <t>S-02</t>
  </si>
  <si>
    <t>No Teensy→Pi UDP telemetry received</t>
  </si>
  <si>
    <t>&gt; 200 ms</t>
  </si>
  <si>
    <t>Freeze EMS output; log TEENSY_TIMEOUT; do not send new cmds</t>
  </si>
  <si>
    <t>Fresh Teensy packet received</t>
  </si>
  <si>
    <t>Pi checks pkt_counter for gaps; logs dropped count</t>
  </si>
  <si>
    <t>S-03</t>
  </si>
  <si>
    <t>SOC &lt; 0.32  (SDP lower guard)</t>
  </si>
  <si>
    <t>Any sample</t>
  </si>
  <si>
    <t>Force mode=FC_ONLY; power_share=1.0; disable charging</t>
  </si>
  <si>
    <t>SOC &gt; 0.35 (hysteresis)</t>
  </si>
  <si>
    <t>SDP trained floor is 0.30; guard at 0.32 adds buffer</t>
  </si>
  <si>
    <t>S-04</t>
  </si>
  <si>
    <t>SOC &gt; 0.78  (SDP upper guard)</t>
  </si>
  <si>
    <t>Force mode=BATT_ONLY; power_share=0; charge_goal=0</t>
  </si>
  <si>
    <t>SOC &lt; 0.75 (hysteresis)</t>
  </si>
  <si>
    <t>SDP trained ceiling is 0.80; guard at 0.78 adds buffer</t>
  </si>
  <si>
    <t>S-05</t>
  </si>
  <si>
    <t>V_batt &lt; 6.2 V  (2S LiPo low cell)</t>
  </si>
  <si>
    <t>Any fast sample</t>
  </si>
  <si>
    <t>Disable discharge; flag UV_BATT (FAULT_UV_BATT); alert Pi</t>
  </si>
  <si>
    <t>V_batt &gt; 6.8 V for 5 s</t>
  </si>
  <si>
    <t>2S LiPo cutoff ~6.0V; 6.2V gives margin</t>
  </si>
  <si>
    <t>S-06</t>
  </si>
  <si>
    <t>V_batt &gt; 8.6 V  (2S LiPo overcharge)</t>
  </si>
  <si>
    <t>Open charger contactor; flag fault; alert Pi</t>
  </si>
  <si>
    <t>V_batt &lt; 8.3 V</t>
  </si>
  <si>
    <t>2S LiPo max 8.4V; firmware LIMIT_V_BATT_MAX = 8.6 V (FAULT_OV_BATT)</t>
  </si>
  <si>
    <t>S-07</t>
  </si>
  <si>
    <t>V_bus &lt; 12.0 V (Run) or V_bus &gt; 18.5 V</t>
  </si>
  <si>
    <t>Flag FAULT_UV_BUS / FAULT_OV_BUS; → State 99</t>
  </si>
  <si>
    <t>Bus within 16–18 V for 2 s</t>
  </si>
  <si>
    <t>Nominal 17.5 V bus. LIMIT_V_BUS_MIN = 12.0 (Run), LIMIT_V_BUS_MAX = 18.5</t>
  </si>
  <si>
    <t>S-08</t>
  </si>
  <si>
    <t>I_fc &gt; 3.5 A  (H-20 overcurrent)</t>
  </si>
  <si>
    <t>Reduce FC droop gain; cap I_fc; flag OC_FC fault</t>
  </si>
  <si>
    <t>I_fc &lt; 3.0 A for 5 s</t>
  </si>
  <si>
    <t>H-20 absolute max ~3.5A. Protect PEM membrane. Priority 1</t>
  </si>
  <si>
    <t>S-09</t>
  </si>
  <si>
    <t>FC stack temp &gt; 55°C</t>
  </si>
  <si>
    <t>Ramp down FC power; flag FC_TEMP fault; switch to BATT</t>
  </si>
  <si>
    <t>Temp &lt; 45°C for 30 s</t>
  </si>
  <si>
    <t>NOT IMPLEMENTED in firmware — no temp sensor input/pin exists. (H-20 max stack temp 55°C.)</t>
  </si>
  <si>
    <t>S-10</t>
  </si>
  <si>
    <t>I_batt &gt; 6.0 A  (BT boost overcurrent)</t>
  </si>
  <si>
    <t>Open battery contactor; flag OC_BATT; manual reset required</t>
  </si>
  <si>
    <t>Manual reset only</t>
  </si>
  <si>
    <t>firmware LIMIT_I_BT_MAX = 6.0 A (FAULT_OC_BT, INA253A1 path). No auto-recovery</t>
  </si>
  <si>
    <t>S-11</t>
  </si>
  <si>
    <t>Teensy fault_flags != 0x00</t>
  </si>
  <si>
    <t>Log fault code; switch EMS → SAFE; send charge_goal=0</t>
  </si>
  <si>
    <t>Teensy clears fault; reports 0x00</t>
  </si>
  <si>
    <t>Pi does NOT attempt to clear Teensy faults</t>
  </si>
  <si>
    <t>S-12</t>
  </si>
  <si>
    <t>SMPC solver time &gt; control period (50ms)</t>
  </si>
  <si>
    <t>&gt; 50 ms</t>
  </si>
  <si>
    <t>Use previous feasible u_opt; flag SMPC_TIMEOUT; count misses</t>
  </si>
  <si>
    <t>Solver within budget for 5 cycles</t>
  </si>
  <si>
    <t>10 consecutive misses → switch to SDP or Fuzzy fallback</t>
  </si>
  <si>
    <t>S-13</t>
  </si>
  <si>
    <t>Pi CPU temperature &gt; 80°C</t>
  </si>
  <si>
    <t>Log warning; &gt;85°C → switch SMPC to Fuzzy or SDP</t>
  </si>
  <si>
    <t>CPU temp &lt; 75°C for 30 s</t>
  </si>
  <si>
    <t>Pi 5 throttles at 85°C. SDP only 0.15ms — safe at any temp</t>
  </si>
  <si>
    <t>S-14</t>
  </si>
  <si>
    <t>Drive cycle file ends or read error</t>
  </si>
  <si>
    <t>Immediate</t>
  </si>
  <si>
    <t>Set v_setpoint=0; log DC_EOF fault; graceful shutdown</t>
  </si>
  <si>
    <t>Manual restart</t>
  </si>
  <si>
    <t>End-of-test or file corruption handler</t>
  </si>
  <si>
    <t>S-15</t>
  </si>
  <si>
    <t>UDP checksum mismatch</t>
  </si>
  <si>
    <t>Both</t>
  </si>
  <si>
    <t>Per packet</t>
  </si>
  <si>
    <t>Discard packet; use fallback values; log CRC_ERROR</t>
  </si>
  <si>
    <t>3 consecutive bad → raise COMMS_FAULT</t>
  </si>
  <si>
    <t>XOR checksum over all payload bytes</t>
  </si>
  <si>
    <t>S-16</t>
  </si>
  <si>
    <t>Ethernet link down (no UDP packets at all)</t>
  </si>
  <si>
    <t>&gt; 1000 ms</t>
  </si>
  <si>
    <t>Teensy: safe mode. Pi: log ETH_LINK_DOWN fault</t>
  </si>
  <si>
    <t>Link restored + fresh packets for 2 s</t>
  </si>
  <si>
    <t>Check W5500 SPI connection on Teensy if this fires</t>
  </si>
  <si>
    <t>S-17</t>
  </si>
  <si>
    <t>Illegal switch combo: FC_CHARGE_ENABLE high while BT_BUS or REGEN high</t>
  </si>
  <si>
    <t>Any tick</t>
  </si>
  <si>
    <t>Flag FAULT_SWITCH_CONFLICT; → State 99 (safe order)</t>
  </si>
  <si>
    <t>Latched; Init reset</t>
  </si>
  <si>
    <t>Power-path sequencing guard; assertFcChargeEnable() enforces ordering</t>
  </si>
  <si>
    <t>S-18</t>
  </si>
  <si>
    <t>V_rgn &gt; 28 V (regen-node spike)</t>
  </si>
  <si>
    <t>Flag FAULT_OV_RGN; → State 99</t>
  </si>
  <si>
    <t>Latched</t>
  </si>
  <si>
    <t>LIMIT_V_RGN_MAX = 28 V. Primary regen clamp is TL431/BSP170P (not firmware)</t>
  </si>
  <si>
    <t>S-19</t>
  </si>
  <si>
    <t>V_chg &gt; 24 V (charger input overvoltage)</t>
  </si>
  <si>
    <t>Flag FAULT_OV_CHG; → State 99</t>
  </si>
  <si>
    <t>LIMIT_V_CHG_MAX = 24 V. Ag105 input protection</t>
  </si>
  <si>
    <t>S-20</t>
  </si>
  <si>
    <t>Ag105 I2C comms failure</t>
  </si>
  <si>
    <t>Charging states</t>
  </si>
  <si>
    <t>Flag FAULT_I2C_CHARGER; → State 99</t>
  </si>
  <si>
    <t>Gated to charging-relevant states; pollAg105() at 50 Hz</t>
  </si>
  <si>
    <t>S-21</t>
  </si>
  <si>
    <t>Ag105 GENSTAT error pattern</t>
  </si>
  <si>
    <t>Flag FAULT_CHARGER_STAT; → State 99</t>
  </si>
  <si>
    <t>GENSTAT 0x05/0x06/0x07 = error (I2C status byte, Table 6)</t>
  </si>
  <si>
    <t>S-22</t>
  </si>
  <si>
    <t>V_fc &lt; 6.0 V (fuel cell depleted)</t>
  </si>
  <si>
    <t>Run only</t>
  </si>
  <si>
    <t>Flag FAULT_UV_FC; → State 99</t>
  </si>
  <si>
    <t>LIMIT_V_FC_MIN = 6.0 V. Run-gated so unramped rail does not boot-lock</t>
  </si>
  <si>
    <t>S-23</t>
  </si>
  <si>
    <t>V_bus &lt; 12.0 V during Run (source loss / stall)</t>
  </si>
  <si>
    <t>Flag FAULT_UV_BUS; → State 99</t>
  </si>
  <si>
    <t>LIMIT_V_BUS_MIN = 12.0 V; Run-gated</t>
  </si>
  <si>
    <t>S-24</t>
  </si>
  <si>
    <t>State-0 init sequence failure (e.g. Ag105 config)</t>
  </si>
  <si>
    <t>State 0</t>
  </si>
  <si>
    <t>Flag FAULT_INIT_FAIL; → State 99</t>
  </si>
  <si>
    <t>doState0() no longer demotes init fault to Idle</t>
  </si>
  <si>
    <t>H-20 PEM Fuel Cell — Polarization &amp; Power Curves  |  Source: Horizon H-20 Datasheet</t>
  </si>
  <si>
    <t>Specifications</t>
  </si>
  <si>
    <t>V-I / P-I Curve Data  (digitized from H-20 datasheet)</t>
  </si>
  <si>
    <t>Type</t>
  </si>
  <si>
    <t>PEM (Proton Exchange Membrane)</t>
  </si>
  <si>
    <t>Current I (A)</t>
  </si>
  <si>
    <t>Voltage V (V)</t>
  </si>
  <si>
    <t>Power P (W)</t>
  </si>
  <si>
    <t>Efficiency η (%)</t>
  </si>
  <si>
    <t>H2 consumption
(mL/min)</t>
  </si>
  <si>
    <t>Number of cells</t>
  </si>
  <si>
    <t>13</t>
  </si>
  <si>
    <t>Rated power</t>
  </si>
  <si>
    <t>20 W</t>
  </si>
  <si>
    <t>Rated performance</t>
  </si>
  <si>
    <t>7.8 V at 2.6 A</t>
  </si>
  <si>
    <t>Open circuit voltage (OCV)</t>
  </si>
  <si>
    <t>~12.2 V</t>
  </si>
  <si>
    <t>Max current (datasheet)</t>
  </si>
  <si>
    <t>~3.5 A</t>
  </si>
  <si>
    <t>Max power (observed)</t>
  </si>
  <si>
    <t>~24 W at 3.5 A</t>
  </si>
  <si>
    <t>Efficiency at full power</t>
  </si>
  <si>
    <t>40%</t>
  </si>
  <si>
    <t>Purging valve voltage</t>
  </si>
  <si>
    <t>6 V</t>
  </si>
  <si>
    <t>Blower voltage</t>
  </si>
  <si>
    <t>5 V</t>
  </si>
  <si>
    <t>Hydrogen pressure</t>
  </si>
  <si>
    <t>0.45 – 0.55 Bar</t>
  </si>
  <si>
    <t>H2 purity</t>
  </si>
  <si>
    <t>≥ 99.995% dry H2</t>
  </si>
  <si>
    <t>Flow rate at max output</t>
  </si>
  <si>
    <t>0.28 L/min</t>
  </si>
  <si>
    <t>Max stack temperature</t>
  </si>
  <si>
    <t>55°C</t>
  </si>
  <si>
    <t>Startup time</t>
  </si>
  <si>
    <t>≤ 30 s (ambient temp)</t>
  </si>
  <si>
    <t>Stack size</t>
  </si>
  <si>
    <t>75 x 47 x 70 mm</t>
  </si>
  <si>
    <t>Stack weight</t>
  </si>
  <si>
    <t>275 g (±30 g)</t>
  </si>
  <si>
    <t>Cooling</t>
  </si>
  <si>
    <t>Air (integrated fan)</t>
  </si>
  <si>
    <t>Humidification</t>
  </si>
  <si>
    <t>Self-humidified</t>
  </si>
  <si>
    <t>★ Highlighted row = rated operating point (2.6 A).  Efficiency η = P_elec / (I × V_thermo), V_thermo = 1.48 V/cell × 13 cells = 19.24 V.  H2 consumption linearly scaled from 0.28 L/min at max output.</t>
  </si>
  <si>
    <t>Interface Configuration  |  Ethernet UDP  |  Teensy 4.1 + W5500 ↔ Raspberry Pi 5</t>
  </si>
  <si>
    <t>NETWORK</t>
  </si>
  <si>
    <t>Topology</t>
  </si>
  <si>
    <t>Point-to-point Ethernet (direct cable or via switch)</t>
  </si>
  <si>
    <t>Protocol</t>
  </si>
  <si>
    <t>UDP (User Datagram Protocol) — low latency, no ACK overhead</t>
  </si>
  <si>
    <t>Pi IP address</t>
  </si>
  <si>
    <t>192.168.1.100</t>
  </si>
  <si>
    <t>Teensy IP address</t>
  </si>
  <si>
    <t>192.168.1.50</t>
  </si>
  <si>
    <t>Subnet mask</t>
  </si>
  <si>
    <t>255.255.255.0</t>
  </si>
  <si>
    <t>Telemetry port (T→Pi)</t>
  </si>
  <si>
    <t>5000  (Teensy sends, Pi listens)</t>
  </si>
  <si>
    <t>Command port (Pi→T)</t>
  </si>
  <si>
    <t>5001  (Pi sends, Teensy listens)</t>
  </si>
  <si>
    <t>TEENSY HARDWARE</t>
  </si>
  <si>
    <t>Ethernet module</t>
  </si>
  <si>
    <t>Teensy 4.1 built-in Ethernet MAC + PJRC Ethernet Kit (DP83825 PHY) on the dedicated Ethernet header — NOT a W5500 SPI module</t>
  </si>
  <si>
    <t>SPI pins (Teensy 4.1)</t>
  </si>
  <si>
    <t>Dedicated Ethernet header (no SPI). NOTE: pins 11/12/13 are the AD5443 MDAC SPI bus (CS 36/37) in firmware</t>
  </si>
  <si>
    <t>Library</t>
  </si>
  <si>
    <t>NativeEthernet + EthernetUDP (Teensy-specific)</t>
  </si>
  <si>
    <t>Tx rate (telemetry)</t>
  </si>
  <si>
    <t>50 Hz — 58-byte packet = ~23.2 kbps</t>
  </si>
  <si>
    <t>RASPBERRY PI SOFTWARE</t>
  </si>
  <si>
    <t>Python socket module (stdlib — no install needed)</t>
  </si>
  <si>
    <t>Rx thread</t>
  </si>
  <si>
    <t>Separate daemon thread reads UDP at 50 Hz</t>
  </si>
  <si>
    <t>Tx rate (commands)</t>
  </si>
  <si>
    <t>20 Hz — 22-byte packet = ~3.5 kbps</t>
  </si>
  <si>
    <t>Socket bind</t>
  </si>
  <si>
    <t>sock.bind(('0.0.0.0', 5000))</t>
  </si>
  <si>
    <t>Non-blocking mode</t>
  </si>
  <si>
    <t>sock.setblocking(False) — poll in main loop</t>
  </si>
  <si>
    <t>WATCHDOG / SAFETY</t>
  </si>
  <si>
    <t>Pi → Teensy watchdog</t>
  </si>
  <si>
    <t>Teensy triggers safe mode if no UDP cmd for &gt; 500 ms</t>
  </si>
  <si>
    <t>Teensy → Pi watchdog</t>
  </si>
  <si>
    <t>Pi freezes EMS if no UDP telemetry for &gt; 200 ms</t>
  </si>
  <si>
    <t>Packet validation</t>
  </si>
  <si>
    <t>XOR checksum on all payload bytes; discard on mismatch</t>
  </si>
  <si>
    <t>Sequence counter</t>
  </si>
  <si>
    <t>Both sides maintain uint16 counter; log drops</t>
  </si>
  <si>
    <t>Link-down detection</t>
  </si>
  <si>
    <t>If no packets for &gt; 1000 ms → ETH_LINK_DOWN fault</t>
  </si>
  <si>
    <t>PYTHON SOCKET SKELETON</t>
  </si>
  <si>
    <t>Pi receive example</t>
  </si>
  <si>
    <t>sock = socket.socket(socket.AF_INET, socket.SOCK_DGRAM)</t>
  </si>
  <si>
    <t>data, addr = sock.recvfrom(64)  # non-blocking with timeout</t>
  </si>
  <si>
    <t>Pi send example</t>
  </si>
  <si>
    <t>sock.sendto(pkt_bytes, ('192.168.1.50', 5001))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</si>
</sst>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1F3864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sz val="9"/>
      <name val="Arial"/>
      <charset val="1"/>
    </font>
    <font>
      <b/>
      <sz val="9"/>
      <color rgb="FFC00000"/>
      <name val="Arial"/>
      <charset val="1"/>
    </font>
    <font>
      <b/>
      <sz val="9"/>
      <color rgb="FF7F6000"/>
      <name val="Arial"/>
      <charset val="1"/>
    </font>
    <font>
      <sz val="9"/>
      <color rgb="FF375623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i/>
      <sz val="8"/>
      <color rgb="FF444444"/>
      <name val="Arial"/>
      <charset val="1"/>
    </font>
    <font>
      <b/>
      <sz val="10"/>
      <color rgb="FFFFFFFF"/>
      <name val="Arial"/>
      <charset val="1"/>
    </font>
    <font>
      <sz val="9"/>
      <name val="Courier New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FFACD"/>
      </patternFill>
    </fill>
    <fill>
      <patternFill patternType="solid">
        <fgColor rgb="FFD9D9D9"/>
        <bgColor rgb="FFBDD7EE"/>
      </patternFill>
    </fill>
    <fill>
      <patternFill patternType="solid">
        <fgColor rgb="FF375623"/>
        <bgColor rgb="FF444444"/>
      </patternFill>
    </fill>
    <fill>
      <patternFill patternType="solid">
        <fgColor rgb="FFFCE4D6"/>
        <bgColor rgb="FFFFF2CC"/>
      </patternFill>
    </fill>
    <fill>
      <patternFill patternType="solid">
        <fgColor rgb="FFFFFACD"/>
        <b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4" fillId="8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4" fillId="9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D9D9"/>
      <rgbColor rgb="FF878787"/>
      <rgbColor rgb="FF9999FF"/>
      <rgbColor rgb="FF993366"/>
      <rgbColor rgb="FFFFFACD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H-20 Polarization Curve (V-I)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V-I</c:v>
          </c:tx>
          <c:spPr>
            <a:ln w="2016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'Fuel Cell Efficiency'!$D$5:$D$24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  <c:pt idx="7">
                  <c:v>1.2</c:v>
                </c:pt>
                <c:pt idx="8">
                  <c:v>1.4</c:v>
                </c:pt>
                <c:pt idx="9">
                  <c:v>1.6</c:v>
                </c:pt>
                <c:pt idx="10">
                  <c:v>1.8</c:v>
                </c:pt>
                <c:pt idx="11">
                  <c:v>2</c:v>
                </c:pt>
                <c:pt idx="12">
                  <c:v>2.2000000000000002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3.5</c:v>
                </c:pt>
              </c:numCache>
            </c:numRef>
          </c:xVal>
          <c:yVal>
            <c:numRef>
              <c:f>'Fuel Cell Efficiency'!$E$5:$E$24</c:f>
              <c:numCache>
                <c:formatCode>General</c:formatCode>
                <c:ptCount val="20"/>
                <c:pt idx="0">
                  <c:v>12.2</c:v>
                </c:pt>
                <c:pt idx="1">
                  <c:v>11.8</c:v>
                </c:pt>
                <c:pt idx="2">
                  <c:v>11.4</c:v>
                </c:pt>
                <c:pt idx="3">
                  <c:v>10.8</c:v>
                </c:pt>
                <c:pt idx="4">
                  <c:v>10.3</c:v>
                </c:pt>
                <c:pt idx="5">
                  <c:v>9.9</c:v>
                </c:pt>
                <c:pt idx="6">
                  <c:v>9.5500000000000007</c:v>
                </c:pt>
                <c:pt idx="7">
                  <c:v>9.1999999999999993</c:v>
                </c:pt>
                <c:pt idx="8">
                  <c:v>8.9</c:v>
                </c:pt>
                <c:pt idx="9">
                  <c:v>8.6</c:v>
                </c:pt>
                <c:pt idx="10">
                  <c:v>8.35</c:v>
                </c:pt>
                <c:pt idx="11">
                  <c:v>8.1</c:v>
                </c:pt>
                <c:pt idx="12">
                  <c:v>7.9</c:v>
                </c:pt>
                <c:pt idx="13">
                  <c:v>7.7</c:v>
                </c:pt>
                <c:pt idx="14">
                  <c:v>7.5</c:v>
                </c:pt>
                <c:pt idx="15">
                  <c:v>7.3</c:v>
                </c:pt>
                <c:pt idx="16">
                  <c:v>7.1</c:v>
                </c:pt>
                <c:pt idx="17">
                  <c:v>6.95</c:v>
                </c:pt>
                <c:pt idx="18">
                  <c:v>6.8</c:v>
                </c:pt>
                <c:pt idx="19">
                  <c:v>6.75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27-4168-B584-23FE6A08A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51317"/>
        <c:axId val="25733222"/>
      </c:scatterChart>
      <c:valAx>
        <c:axId val="40951317"/>
        <c:scaling>
          <c:orientation val="minMax"/>
          <c:max val="4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33222"/>
        <c:crosses val="autoZero"/>
        <c:crossBetween val="midCat"/>
      </c:valAx>
      <c:valAx>
        <c:axId val="25733222"/>
        <c:scaling>
          <c:orientation val="minMax"/>
          <c:max val="13"/>
          <c:min val="6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951317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H-20 Power Curve (P-I)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P-I</c:v>
          </c:tx>
          <c:spPr>
            <a:ln w="201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'Fuel Cell Efficiency'!$D$5:$D$24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  <c:pt idx="7">
                  <c:v>1.2</c:v>
                </c:pt>
                <c:pt idx="8">
                  <c:v>1.4</c:v>
                </c:pt>
                <c:pt idx="9">
                  <c:v>1.6</c:v>
                </c:pt>
                <c:pt idx="10">
                  <c:v>1.8</c:v>
                </c:pt>
                <c:pt idx="11">
                  <c:v>2</c:v>
                </c:pt>
                <c:pt idx="12">
                  <c:v>2.2000000000000002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3.5</c:v>
                </c:pt>
              </c:numCache>
            </c:numRef>
          </c:xVal>
          <c:yVal>
            <c:numRef>
              <c:f>'Fuel Cell Efficiency'!$F$5:$F$24</c:f>
              <c:numCache>
                <c:formatCode>General</c:formatCode>
                <c:ptCount val="20"/>
                <c:pt idx="0">
                  <c:v>0</c:v>
                </c:pt>
                <c:pt idx="1">
                  <c:v>1.18</c:v>
                </c:pt>
                <c:pt idx="2">
                  <c:v>2.2799999999999998</c:v>
                </c:pt>
                <c:pt idx="3">
                  <c:v>4.32</c:v>
                </c:pt>
                <c:pt idx="4">
                  <c:v>6.18</c:v>
                </c:pt>
                <c:pt idx="5">
                  <c:v>7.92</c:v>
                </c:pt>
                <c:pt idx="6">
                  <c:v>9.5500000000000007</c:v>
                </c:pt>
                <c:pt idx="7">
                  <c:v>11.04</c:v>
                </c:pt>
                <c:pt idx="8">
                  <c:v>12.46</c:v>
                </c:pt>
                <c:pt idx="9">
                  <c:v>13.76</c:v>
                </c:pt>
                <c:pt idx="10">
                  <c:v>15.03</c:v>
                </c:pt>
                <c:pt idx="11">
                  <c:v>16.2</c:v>
                </c:pt>
                <c:pt idx="12">
                  <c:v>17.38</c:v>
                </c:pt>
                <c:pt idx="13">
                  <c:v>18.48</c:v>
                </c:pt>
                <c:pt idx="14">
                  <c:v>19.5</c:v>
                </c:pt>
                <c:pt idx="15">
                  <c:v>20.440000000000001</c:v>
                </c:pt>
                <c:pt idx="16">
                  <c:v>21.3</c:v>
                </c:pt>
                <c:pt idx="17">
                  <c:v>22.24</c:v>
                </c:pt>
                <c:pt idx="18">
                  <c:v>23.12</c:v>
                </c:pt>
                <c:pt idx="19">
                  <c:v>23.63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48-4A28-B49D-4C70686BC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28605"/>
        <c:axId val="93400041"/>
      </c:scatterChart>
      <c:valAx>
        <c:axId val="65828605"/>
        <c:scaling>
          <c:orientation val="minMax"/>
          <c:max val="4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400041"/>
        <c:crosses val="autoZero"/>
        <c:crossBetween val="midCat"/>
      </c:valAx>
      <c:valAx>
        <c:axId val="93400041"/>
        <c:scaling>
          <c:orientation val="minMax"/>
          <c:max val="2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828605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25</xdr:row>
      <xdr:rowOff>0</xdr:rowOff>
    </xdr:from>
    <xdr:to>
      <xdr:col>7</xdr:col>
      <xdr:colOff>528120</xdr:colOff>
      <xdr:row>43</xdr:row>
      <xdr:rowOff>8280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41</xdr:row>
      <xdr:rowOff>0</xdr:rowOff>
    </xdr:from>
    <xdr:to>
      <xdr:col>7</xdr:col>
      <xdr:colOff>528120</xdr:colOff>
      <xdr:row>59</xdr:row>
      <xdr:rowOff>170280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Normal="100" workbookViewId="0">
      <pane ySplit="3" topLeftCell="A23" activePane="bottomLeft" state="frozen"/>
      <selection pane="bottomLeft" activeCell="N22" sqref="N22"/>
    </sheetView>
  </sheetViews>
  <sheetFormatPr defaultColWidth="8.7109375" defaultRowHeight="15" x14ac:dyDescent="0.25"/>
  <cols>
    <col min="1" max="1" width="22" customWidth="1"/>
    <col min="2" max="2" width="34" customWidth="1"/>
    <col min="3" max="3" width="14" customWidth="1"/>
    <col min="4" max="8" width="10" customWidth="1"/>
    <col min="9" max="9" width="16" customWidth="1"/>
    <col min="10" max="10" width="18" customWidth="1"/>
    <col min="11" max="11" width="28" customWidth="1"/>
    <col min="12" max="12" width="12" customWidth="1"/>
    <col min="13" max="13" width="10" customWidth="1"/>
    <col min="14" max="14" width="96.28515625" customWidth="1"/>
  </cols>
  <sheetData>
    <row r="1" spans="1:14" ht="27.75" customHeight="1" x14ac:dyDescent="0.25">
      <c r="A1" s="32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5.7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18" customHeight="1" x14ac:dyDescent="0.25">
      <c r="A4" s="26" t="s">
        <v>16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30" customHeight="1" x14ac:dyDescent="0.25">
      <c r="A5" s="18" t="s">
        <v>17</v>
      </c>
      <c r="B5" s="18" t="s">
        <v>18</v>
      </c>
      <c r="C5" s="19" t="s">
        <v>19</v>
      </c>
      <c r="D5" s="19" t="s">
        <v>20</v>
      </c>
      <c r="E5" s="19" t="s">
        <v>21</v>
      </c>
      <c r="F5" s="19">
        <v>50</v>
      </c>
      <c r="G5" s="19">
        <v>0</v>
      </c>
      <c r="H5" s="19">
        <v>15</v>
      </c>
      <c r="I5" s="19" t="s">
        <v>22</v>
      </c>
      <c r="J5" s="19" t="s">
        <v>23</v>
      </c>
      <c r="K5" s="18" t="s">
        <v>24</v>
      </c>
      <c r="L5" s="19" t="s">
        <v>25</v>
      </c>
      <c r="M5" s="20" t="s">
        <v>26</v>
      </c>
      <c r="N5" s="18" t="s">
        <v>27</v>
      </c>
    </row>
    <row r="6" spans="1:14" ht="37.5" customHeight="1" x14ac:dyDescent="0.25">
      <c r="A6" s="21" t="s">
        <v>28</v>
      </c>
      <c r="B6" s="21" t="s">
        <v>29</v>
      </c>
      <c r="C6" s="22" t="s">
        <v>19</v>
      </c>
      <c r="D6" s="22" t="s">
        <v>20</v>
      </c>
      <c r="E6" s="22" t="s">
        <v>30</v>
      </c>
      <c r="F6" s="22">
        <v>50</v>
      </c>
      <c r="G6" s="22">
        <v>6</v>
      </c>
      <c r="H6" s="22">
        <v>8.4</v>
      </c>
      <c r="I6" s="22" t="s">
        <v>31</v>
      </c>
      <c r="J6" s="22" t="s">
        <v>23</v>
      </c>
      <c r="K6" s="21" t="s">
        <v>32</v>
      </c>
      <c r="L6" s="22" t="s">
        <v>25</v>
      </c>
      <c r="M6" s="23" t="s">
        <v>26</v>
      </c>
      <c r="N6" s="21" t="s">
        <v>33</v>
      </c>
    </row>
    <row r="7" spans="1:14" ht="37.5" customHeight="1" x14ac:dyDescent="0.25">
      <c r="A7" s="18" t="s">
        <v>34</v>
      </c>
      <c r="B7" s="18" t="s">
        <v>35</v>
      </c>
      <c r="C7" s="19" t="s">
        <v>19</v>
      </c>
      <c r="D7" s="19" t="s">
        <v>20</v>
      </c>
      <c r="E7" s="19" t="s">
        <v>36</v>
      </c>
      <c r="F7" s="19">
        <v>50</v>
      </c>
      <c r="G7" s="19">
        <v>0</v>
      </c>
      <c r="H7" s="19">
        <v>9.33</v>
      </c>
      <c r="I7" s="19" t="s">
        <v>37</v>
      </c>
      <c r="J7" s="19" t="s">
        <v>38</v>
      </c>
      <c r="K7" s="18" t="s">
        <v>39</v>
      </c>
      <c r="L7" s="19" t="s">
        <v>25</v>
      </c>
      <c r="M7" s="20" t="s">
        <v>26</v>
      </c>
      <c r="N7" s="18" t="s">
        <v>40</v>
      </c>
    </row>
    <row r="8" spans="1:14" ht="37.5" customHeight="1" x14ac:dyDescent="0.25">
      <c r="A8" s="21" t="s">
        <v>41</v>
      </c>
      <c r="B8" s="21" t="s">
        <v>42</v>
      </c>
      <c r="C8" s="22" t="s">
        <v>19</v>
      </c>
      <c r="D8" s="22" t="s">
        <v>20</v>
      </c>
      <c r="E8" s="22" t="s">
        <v>36</v>
      </c>
      <c r="F8" s="22">
        <v>50</v>
      </c>
      <c r="G8" s="22">
        <v>0</v>
      </c>
      <c r="H8" s="22">
        <v>2.5</v>
      </c>
      <c r="I8" s="22" t="s">
        <v>43</v>
      </c>
      <c r="J8" s="22" t="s">
        <v>38</v>
      </c>
      <c r="K8" s="21" t="s">
        <v>44</v>
      </c>
      <c r="L8" s="22" t="s">
        <v>25</v>
      </c>
      <c r="M8" s="23" t="s">
        <v>26</v>
      </c>
      <c r="N8" s="21" t="s">
        <v>45</v>
      </c>
    </row>
    <row r="9" spans="1:14" ht="37.5" customHeight="1" x14ac:dyDescent="0.25">
      <c r="A9" s="18" t="s">
        <v>46</v>
      </c>
      <c r="B9" s="18" t="s">
        <v>47</v>
      </c>
      <c r="C9" s="19" t="s">
        <v>19</v>
      </c>
      <c r="D9" s="19" t="s">
        <v>20</v>
      </c>
      <c r="E9" s="19" t="s">
        <v>30</v>
      </c>
      <c r="F9" s="19">
        <v>50</v>
      </c>
      <c r="G9" s="19">
        <v>6</v>
      </c>
      <c r="H9" s="19">
        <v>12.2</v>
      </c>
      <c r="I9" s="19" t="s">
        <v>48</v>
      </c>
      <c r="J9" s="19" t="s">
        <v>23</v>
      </c>
      <c r="K9" s="18" t="s">
        <v>49</v>
      </c>
      <c r="L9" s="19" t="s">
        <v>25</v>
      </c>
      <c r="M9" s="20" t="s">
        <v>26</v>
      </c>
      <c r="N9" s="18" t="s">
        <v>50</v>
      </c>
    </row>
    <row r="10" spans="1:14" ht="37.5" customHeight="1" x14ac:dyDescent="0.25">
      <c r="A10" s="21" t="s">
        <v>51</v>
      </c>
      <c r="B10" s="21" t="s">
        <v>52</v>
      </c>
      <c r="C10" s="22" t="s">
        <v>19</v>
      </c>
      <c r="D10" s="22" t="s">
        <v>20</v>
      </c>
      <c r="E10" s="22" t="s">
        <v>36</v>
      </c>
      <c r="F10" s="22">
        <v>50</v>
      </c>
      <c r="G10" s="22">
        <v>0</v>
      </c>
      <c r="H10" s="22">
        <v>1.73</v>
      </c>
      <c r="I10" s="22" t="s">
        <v>53</v>
      </c>
      <c r="J10" s="22" t="s">
        <v>38</v>
      </c>
      <c r="K10" s="21" t="s">
        <v>54</v>
      </c>
      <c r="L10" s="22" t="s">
        <v>25</v>
      </c>
      <c r="M10" s="23" t="s">
        <v>26</v>
      </c>
      <c r="N10" s="21" t="s">
        <v>55</v>
      </c>
    </row>
    <row r="11" spans="1:14" ht="37.5" customHeight="1" x14ac:dyDescent="0.25">
      <c r="A11" s="18" t="s">
        <v>56</v>
      </c>
      <c r="B11" s="18" t="s">
        <v>57</v>
      </c>
      <c r="C11" s="19" t="s">
        <v>19</v>
      </c>
      <c r="D11" s="19" t="s">
        <v>20</v>
      </c>
      <c r="E11" s="19" t="s">
        <v>58</v>
      </c>
      <c r="F11" s="19">
        <v>50</v>
      </c>
      <c r="G11" s="19">
        <v>0</v>
      </c>
      <c r="H11" s="19">
        <v>20</v>
      </c>
      <c r="I11" s="19" t="s">
        <v>59</v>
      </c>
      <c r="J11" s="19" t="s">
        <v>38</v>
      </c>
      <c r="K11" s="18" t="s">
        <v>60</v>
      </c>
      <c r="L11" s="19" t="s">
        <v>25</v>
      </c>
      <c r="M11" s="20" t="s">
        <v>26</v>
      </c>
      <c r="N11" s="18" t="s">
        <v>61</v>
      </c>
    </row>
    <row r="12" spans="1:14" ht="37.5" customHeight="1" x14ac:dyDescent="0.25">
      <c r="A12" s="21" t="s">
        <v>62</v>
      </c>
      <c r="B12" s="21" t="s">
        <v>63</v>
      </c>
      <c r="C12" s="22" t="s">
        <v>19</v>
      </c>
      <c r="D12" s="22" t="s">
        <v>20</v>
      </c>
      <c r="E12" s="22" t="s">
        <v>58</v>
      </c>
      <c r="F12" s="22">
        <v>50</v>
      </c>
      <c r="G12" s="22">
        <v>-54</v>
      </c>
      <c r="H12" s="22">
        <v>125</v>
      </c>
      <c r="I12" s="22" t="s">
        <v>64</v>
      </c>
      <c r="J12" s="22" t="s">
        <v>38</v>
      </c>
      <c r="K12" s="21" t="s">
        <v>65</v>
      </c>
      <c r="L12" s="22" t="s">
        <v>25</v>
      </c>
      <c r="M12" s="23" t="s">
        <v>26</v>
      </c>
      <c r="N12" s="21" t="s">
        <v>66</v>
      </c>
    </row>
    <row r="13" spans="1:14" ht="37.5" customHeight="1" x14ac:dyDescent="0.25">
      <c r="A13" s="18" t="s">
        <v>67</v>
      </c>
      <c r="B13" s="18" t="s">
        <v>68</v>
      </c>
      <c r="C13" s="19" t="s">
        <v>19</v>
      </c>
      <c r="D13" s="19" t="s">
        <v>20</v>
      </c>
      <c r="E13" s="19" t="s">
        <v>30</v>
      </c>
      <c r="F13" s="19">
        <v>50</v>
      </c>
      <c r="G13" s="19">
        <v>15</v>
      </c>
      <c r="H13" s="19">
        <v>18</v>
      </c>
      <c r="I13" s="19" t="s">
        <v>69</v>
      </c>
      <c r="J13" s="19" t="s">
        <v>23</v>
      </c>
      <c r="K13" s="18" t="s">
        <v>70</v>
      </c>
      <c r="L13" s="19" t="s">
        <v>25</v>
      </c>
      <c r="M13" s="20" t="s">
        <v>26</v>
      </c>
      <c r="N13" s="18" t="s">
        <v>71</v>
      </c>
    </row>
    <row r="14" spans="1:14" ht="37.5" customHeight="1" x14ac:dyDescent="0.25">
      <c r="A14" s="21" t="s">
        <v>72</v>
      </c>
      <c r="B14" s="21" t="s">
        <v>73</v>
      </c>
      <c r="C14" s="22" t="s">
        <v>19</v>
      </c>
      <c r="D14" s="22" t="s">
        <v>20</v>
      </c>
      <c r="E14" s="22" t="s">
        <v>30</v>
      </c>
      <c r="F14" s="22">
        <v>50</v>
      </c>
      <c r="G14" s="22">
        <v>0</v>
      </c>
      <c r="H14" s="22">
        <v>28</v>
      </c>
      <c r="I14" s="22" t="s">
        <v>74</v>
      </c>
      <c r="J14" s="22" t="s">
        <v>38</v>
      </c>
      <c r="K14" s="21" t="s">
        <v>75</v>
      </c>
      <c r="L14" s="22" t="s">
        <v>25</v>
      </c>
      <c r="M14" s="24" t="s">
        <v>76</v>
      </c>
      <c r="N14" s="21" t="s">
        <v>77</v>
      </c>
    </row>
    <row r="15" spans="1:14" ht="37.5" customHeight="1" x14ac:dyDescent="0.25">
      <c r="A15" s="18" t="s">
        <v>78</v>
      </c>
      <c r="B15" s="18" t="s">
        <v>79</v>
      </c>
      <c r="C15" s="19" t="s">
        <v>19</v>
      </c>
      <c r="D15" s="19" t="s">
        <v>20</v>
      </c>
      <c r="E15" s="19" t="s">
        <v>36</v>
      </c>
      <c r="F15" s="19">
        <v>20</v>
      </c>
      <c r="G15" s="19">
        <v>0</v>
      </c>
      <c r="H15" s="19">
        <v>50</v>
      </c>
      <c r="I15" s="19" t="s">
        <v>80</v>
      </c>
      <c r="J15" s="19" t="s">
        <v>38</v>
      </c>
      <c r="K15" s="18" t="s">
        <v>81</v>
      </c>
      <c r="L15" s="19" t="s">
        <v>25</v>
      </c>
      <c r="M15" s="25" t="s">
        <v>76</v>
      </c>
      <c r="N15" s="18" t="s">
        <v>82</v>
      </c>
    </row>
    <row r="16" spans="1:14" ht="37.5" customHeight="1" x14ac:dyDescent="0.25">
      <c r="A16" s="21" t="s">
        <v>83</v>
      </c>
      <c r="B16" s="21" t="s">
        <v>84</v>
      </c>
      <c r="C16" s="22" t="s">
        <v>19</v>
      </c>
      <c r="D16" s="22" t="s">
        <v>20</v>
      </c>
      <c r="E16" s="22" t="s">
        <v>30</v>
      </c>
      <c r="F16" s="22">
        <v>50</v>
      </c>
      <c r="G16" s="22">
        <v>0</v>
      </c>
      <c r="H16" s="22">
        <v>24</v>
      </c>
      <c r="I16" s="22" t="s">
        <v>74</v>
      </c>
      <c r="J16" s="22" t="s">
        <v>23</v>
      </c>
      <c r="K16" s="21" t="s">
        <v>85</v>
      </c>
      <c r="L16" s="22" t="s">
        <v>25</v>
      </c>
      <c r="M16" s="24" t="s">
        <v>76</v>
      </c>
      <c r="N16" s="21" t="s">
        <v>86</v>
      </c>
    </row>
    <row r="17" spans="1:14" ht="37.5" customHeight="1" x14ac:dyDescent="0.25">
      <c r="A17" s="18" t="s">
        <v>87</v>
      </c>
      <c r="B17" s="18" t="s">
        <v>88</v>
      </c>
      <c r="C17" s="19" t="s">
        <v>19</v>
      </c>
      <c r="D17" s="19" t="s">
        <v>20</v>
      </c>
      <c r="E17" s="19" t="s">
        <v>89</v>
      </c>
      <c r="F17" s="19">
        <v>50</v>
      </c>
      <c r="G17" s="19">
        <v>0</v>
      </c>
      <c r="H17" s="19">
        <v>1</v>
      </c>
      <c r="I17" s="19" t="s">
        <v>90</v>
      </c>
      <c r="J17" s="19" t="s">
        <v>23</v>
      </c>
      <c r="K17" s="18" t="s">
        <v>91</v>
      </c>
      <c r="L17" s="19" t="s">
        <v>25</v>
      </c>
      <c r="M17" s="25" t="s">
        <v>76</v>
      </c>
      <c r="N17" s="18" t="s">
        <v>92</v>
      </c>
    </row>
    <row r="18" spans="1:14" ht="37.5" customHeight="1" x14ac:dyDescent="0.25">
      <c r="A18" s="21" t="s">
        <v>93</v>
      </c>
      <c r="B18" s="21" t="s">
        <v>94</v>
      </c>
      <c r="C18" s="22" t="s">
        <v>19</v>
      </c>
      <c r="D18" s="22" t="s">
        <v>20</v>
      </c>
      <c r="E18" s="22" t="s">
        <v>95</v>
      </c>
      <c r="F18" s="22">
        <v>20</v>
      </c>
      <c r="G18" s="22">
        <v>0</v>
      </c>
      <c r="H18" s="22">
        <v>65535</v>
      </c>
      <c r="I18" s="22" t="s">
        <v>96</v>
      </c>
      <c r="J18" s="22" t="s">
        <v>23</v>
      </c>
      <c r="K18" s="21" t="s">
        <v>97</v>
      </c>
      <c r="L18" s="22" t="s">
        <v>25</v>
      </c>
      <c r="M18" s="24" t="s">
        <v>76</v>
      </c>
      <c r="N18" s="21" t="s">
        <v>98</v>
      </c>
    </row>
    <row r="19" spans="1:14" ht="37.5" customHeight="1" x14ac:dyDescent="0.25">
      <c r="A19" s="18" t="s">
        <v>99</v>
      </c>
      <c r="B19" s="18" t="s">
        <v>100</v>
      </c>
      <c r="C19" s="19" t="s">
        <v>19</v>
      </c>
      <c r="D19" s="19" t="s">
        <v>20</v>
      </c>
      <c r="E19" s="19" t="s">
        <v>95</v>
      </c>
      <c r="F19" s="19">
        <v>20</v>
      </c>
      <c r="G19" s="19">
        <v>0</v>
      </c>
      <c r="H19" s="19">
        <v>65535</v>
      </c>
      <c r="I19" s="19" t="s">
        <v>96</v>
      </c>
      <c r="J19" s="19" t="s">
        <v>23</v>
      </c>
      <c r="K19" s="18" t="s">
        <v>97</v>
      </c>
      <c r="L19" s="19" t="s">
        <v>25</v>
      </c>
      <c r="M19" s="25" t="s">
        <v>76</v>
      </c>
      <c r="N19" s="18" t="s">
        <v>101</v>
      </c>
    </row>
    <row r="20" spans="1:14" ht="37.5" customHeight="1" x14ac:dyDescent="0.25">
      <c r="A20" s="21" t="s">
        <v>102</v>
      </c>
      <c r="B20" s="21" t="s">
        <v>103</v>
      </c>
      <c r="C20" s="22" t="s">
        <v>19</v>
      </c>
      <c r="D20" s="22" t="s">
        <v>20</v>
      </c>
      <c r="E20" s="22" t="s">
        <v>104</v>
      </c>
      <c r="F20" s="22">
        <v>50</v>
      </c>
      <c r="G20" s="22">
        <v>0</v>
      </c>
      <c r="H20" s="22">
        <v>255</v>
      </c>
      <c r="I20" s="22" t="s">
        <v>105</v>
      </c>
      <c r="J20" s="22" t="s">
        <v>106</v>
      </c>
      <c r="K20" s="21" t="s">
        <v>107</v>
      </c>
      <c r="L20" s="22" t="s">
        <v>25</v>
      </c>
      <c r="M20" s="24" t="s">
        <v>26</v>
      </c>
      <c r="N20" s="21" t="s">
        <v>108</v>
      </c>
    </row>
    <row r="21" spans="1:14" ht="37.5" customHeight="1" x14ac:dyDescent="0.25">
      <c r="A21" s="18" t="s">
        <v>109</v>
      </c>
      <c r="B21" s="18" t="s">
        <v>110</v>
      </c>
      <c r="C21" s="19" t="s">
        <v>19</v>
      </c>
      <c r="D21" s="19" t="s">
        <v>20</v>
      </c>
      <c r="E21" s="19" t="s">
        <v>104</v>
      </c>
      <c r="F21" s="19">
        <v>50</v>
      </c>
      <c r="G21" s="19">
        <v>0</v>
      </c>
      <c r="H21" s="19">
        <v>63</v>
      </c>
      <c r="I21" s="19" t="s">
        <v>111</v>
      </c>
      <c r="J21" s="19" t="s">
        <v>38</v>
      </c>
      <c r="K21" s="18" t="s">
        <v>112</v>
      </c>
      <c r="L21" s="19" t="s">
        <v>25</v>
      </c>
      <c r="M21" s="25" t="s">
        <v>76</v>
      </c>
      <c r="N21" s="18" t="s">
        <v>113</v>
      </c>
    </row>
    <row r="22" spans="1:14" ht="37.5" customHeight="1" x14ac:dyDescent="0.25">
      <c r="A22" s="21" t="s">
        <v>114</v>
      </c>
      <c r="B22" s="21" t="s">
        <v>115</v>
      </c>
      <c r="C22" s="22" t="s">
        <v>19</v>
      </c>
      <c r="D22" s="22" t="s">
        <v>20</v>
      </c>
      <c r="E22" s="22" t="s">
        <v>104</v>
      </c>
      <c r="F22" s="22">
        <v>20</v>
      </c>
      <c r="G22" s="22">
        <v>0</v>
      </c>
      <c r="H22" s="22">
        <v>65535</v>
      </c>
      <c r="I22" s="22" t="s">
        <v>38</v>
      </c>
      <c r="J22" s="22" t="s">
        <v>106</v>
      </c>
      <c r="K22" s="21" t="s">
        <v>116</v>
      </c>
      <c r="L22" s="22" t="s">
        <v>25</v>
      </c>
      <c r="M22" s="23" t="s">
        <v>26</v>
      </c>
      <c r="N22" s="21" t="s">
        <v>117</v>
      </c>
    </row>
    <row r="23" spans="1:14" ht="37.5" customHeight="1" x14ac:dyDescent="0.25">
      <c r="A23" s="18" t="s">
        <v>118</v>
      </c>
      <c r="B23" s="18" t="s">
        <v>119</v>
      </c>
      <c r="C23" s="19" t="s">
        <v>19</v>
      </c>
      <c r="D23" s="19" t="s">
        <v>20</v>
      </c>
      <c r="E23" s="19" t="s">
        <v>120</v>
      </c>
      <c r="F23" s="19">
        <v>50</v>
      </c>
      <c r="G23" s="19">
        <v>0</v>
      </c>
      <c r="H23" s="19">
        <v>65535</v>
      </c>
      <c r="I23" s="19" t="s">
        <v>89</v>
      </c>
      <c r="J23" s="19" t="s">
        <v>121</v>
      </c>
      <c r="K23" s="18" t="s">
        <v>122</v>
      </c>
      <c r="L23" s="19" t="s">
        <v>25</v>
      </c>
      <c r="M23" s="25" t="s">
        <v>76</v>
      </c>
      <c r="N23" s="18" t="s">
        <v>123</v>
      </c>
    </row>
    <row r="24" spans="1:14" ht="37.5" customHeight="1" x14ac:dyDescent="0.25">
      <c r="A24" s="21" t="s">
        <v>124</v>
      </c>
      <c r="B24" s="21" t="s">
        <v>125</v>
      </c>
      <c r="C24" s="22" t="s">
        <v>19</v>
      </c>
      <c r="D24" s="22" t="s">
        <v>20</v>
      </c>
      <c r="E24" s="22" t="s">
        <v>126</v>
      </c>
      <c r="F24" s="22">
        <v>50</v>
      </c>
      <c r="G24" s="22">
        <v>0</v>
      </c>
      <c r="H24" s="22">
        <v>14</v>
      </c>
      <c r="I24" s="22" t="s">
        <v>38</v>
      </c>
      <c r="J24" s="22" t="s">
        <v>106</v>
      </c>
      <c r="K24" s="21" t="s">
        <v>127</v>
      </c>
      <c r="L24" s="22" t="s">
        <v>25</v>
      </c>
      <c r="M24" s="23" t="s">
        <v>26</v>
      </c>
      <c r="N24" s="21" t="s">
        <v>128</v>
      </c>
    </row>
    <row r="25" spans="1:14" ht="37.5" customHeight="1" x14ac:dyDescent="0.25">
      <c r="A25" s="18" t="s">
        <v>129</v>
      </c>
      <c r="B25" s="18" t="s">
        <v>130</v>
      </c>
      <c r="C25" s="19" t="s">
        <v>19</v>
      </c>
      <c r="D25" s="19" t="s">
        <v>20</v>
      </c>
      <c r="E25" s="19" t="s">
        <v>126</v>
      </c>
      <c r="F25" s="19">
        <v>50</v>
      </c>
      <c r="G25" s="19">
        <v>0</v>
      </c>
      <c r="H25" s="19">
        <v>99</v>
      </c>
      <c r="I25" s="19" t="s">
        <v>89</v>
      </c>
      <c r="J25" s="19" t="s">
        <v>106</v>
      </c>
      <c r="K25" s="18" t="s">
        <v>131</v>
      </c>
      <c r="L25" s="19" t="s">
        <v>25</v>
      </c>
      <c r="M25" s="25" t="s">
        <v>76</v>
      </c>
      <c r="N25" s="18" t="s">
        <v>132</v>
      </c>
    </row>
    <row r="26" spans="1:14" ht="30" customHeight="1" x14ac:dyDescent="0.25">
      <c r="A26" s="28" t="s">
        <v>133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1:14" ht="30" customHeight="1" x14ac:dyDescent="0.25">
      <c r="A27" s="2" t="s">
        <v>134</v>
      </c>
      <c r="B27" s="2" t="s">
        <v>135</v>
      </c>
      <c r="C27" s="3" t="s">
        <v>136</v>
      </c>
      <c r="D27" s="3" t="s">
        <v>137</v>
      </c>
      <c r="E27" s="3" t="s">
        <v>21</v>
      </c>
      <c r="F27" s="3">
        <v>20</v>
      </c>
      <c r="G27" s="3">
        <v>0</v>
      </c>
      <c r="H27" s="3">
        <v>15</v>
      </c>
      <c r="I27" s="3" t="s">
        <v>138</v>
      </c>
      <c r="J27" s="3" t="s">
        <v>139</v>
      </c>
      <c r="K27" s="2" t="s">
        <v>140</v>
      </c>
      <c r="L27" s="3" t="s">
        <v>25</v>
      </c>
      <c r="M27" s="4" t="s">
        <v>26</v>
      </c>
      <c r="N27" s="2" t="s">
        <v>141</v>
      </c>
    </row>
    <row r="28" spans="1:14" ht="30" customHeight="1" x14ac:dyDescent="0.25">
      <c r="A28" s="5" t="s">
        <v>142</v>
      </c>
      <c r="B28" s="5" t="s">
        <v>143</v>
      </c>
      <c r="C28" s="6" t="s">
        <v>136</v>
      </c>
      <c r="D28" s="6" t="s">
        <v>137</v>
      </c>
      <c r="E28" s="6" t="s">
        <v>89</v>
      </c>
      <c r="F28" s="6">
        <v>20</v>
      </c>
      <c r="G28" s="6">
        <v>0</v>
      </c>
      <c r="H28" s="6">
        <v>1</v>
      </c>
      <c r="I28" s="6" t="s">
        <v>144</v>
      </c>
      <c r="J28" s="6" t="s">
        <v>145</v>
      </c>
      <c r="K28" s="5" t="s">
        <v>146</v>
      </c>
      <c r="L28" s="6" t="s">
        <v>25</v>
      </c>
      <c r="M28" s="7" t="s">
        <v>26</v>
      </c>
      <c r="N28" s="5" t="s">
        <v>147</v>
      </c>
    </row>
    <row r="29" spans="1:14" ht="30" customHeight="1" x14ac:dyDescent="0.25">
      <c r="A29" s="2" t="s">
        <v>148</v>
      </c>
      <c r="B29" s="2" t="s">
        <v>149</v>
      </c>
      <c r="C29" s="3" t="s">
        <v>136</v>
      </c>
      <c r="D29" s="3" t="s">
        <v>137</v>
      </c>
      <c r="E29" s="3" t="s">
        <v>36</v>
      </c>
      <c r="F29" s="3">
        <v>10</v>
      </c>
      <c r="G29" s="3">
        <v>0</v>
      </c>
      <c r="H29" s="3">
        <v>2.5</v>
      </c>
      <c r="I29" s="3" t="s">
        <v>150</v>
      </c>
      <c r="J29" s="3" t="s">
        <v>38</v>
      </c>
      <c r="K29" s="2" t="s">
        <v>151</v>
      </c>
      <c r="L29" s="3" t="s">
        <v>25</v>
      </c>
      <c r="M29" s="9" t="s">
        <v>76</v>
      </c>
      <c r="N29" s="2" t="s">
        <v>152</v>
      </c>
    </row>
    <row r="30" spans="1:14" ht="30" customHeight="1" x14ac:dyDescent="0.25">
      <c r="A30" s="5" t="s">
        <v>153</v>
      </c>
      <c r="B30" s="5" t="s">
        <v>154</v>
      </c>
      <c r="C30" s="6" t="s">
        <v>136</v>
      </c>
      <c r="D30" s="6" t="s">
        <v>137</v>
      </c>
      <c r="E30" s="6" t="s">
        <v>126</v>
      </c>
      <c r="F30" s="6">
        <v>10</v>
      </c>
      <c r="G30" s="6">
        <v>0</v>
      </c>
      <c r="H30" s="6">
        <v>4</v>
      </c>
      <c r="I30" s="6" t="s">
        <v>38</v>
      </c>
      <c r="J30" s="6" t="s">
        <v>38</v>
      </c>
      <c r="K30" s="5" t="s">
        <v>155</v>
      </c>
      <c r="L30" s="6" t="s">
        <v>25</v>
      </c>
      <c r="M30" s="7" t="s">
        <v>26</v>
      </c>
      <c r="N30" s="5" t="s">
        <v>156</v>
      </c>
    </row>
    <row r="31" spans="1:14" ht="30" customHeight="1" x14ac:dyDescent="0.25">
      <c r="A31" s="2" t="s">
        <v>157</v>
      </c>
      <c r="B31" s="2" t="s">
        <v>158</v>
      </c>
      <c r="C31" s="3" t="s">
        <v>136</v>
      </c>
      <c r="D31" s="3" t="s">
        <v>137</v>
      </c>
      <c r="E31" s="3" t="s">
        <v>159</v>
      </c>
      <c r="F31" s="3">
        <v>10</v>
      </c>
      <c r="G31" s="3">
        <v>0</v>
      </c>
      <c r="H31" s="3">
        <v>1</v>
      </c>
      <c r="I31" s="3" t="s">
        <v>160</v>
      </c>
      <c r="J31" s="3" t="s">
        <v>38</v>
      </c>
      <c r="K31" s="2" t="s">
        <v>161</v>
      </c>
      <c r="L31" s="3" t="s">
        <v>25</v>
      </c>
      <c r="M31" s="9" t="s">
        <v>76</v>
      </c>
      <c r="N31" s="2" t="s">
        <v>162</v>
      </c>
    </row>
    <row r="32" spans="1:14" ht="18" customHeight="1" x14ac:dyDescent="0.25">
      <c r="A32" s="5" t="s">
        <v>163</v>
      </c>
      <c r="B32" s="5" t="s">
        <v>164</v>
      </c>
      <c r="C32" s="6" t="s">
        <v>136</v>
      </c>
      <c r="D32" s="6" t="s">
        <v>137</v>
      </c>
      <c r="E32" s="6" t="s">
        <v>120</v>
      </c>
      <c r="F32" s="6">
        <v>20</v>
      </c>
      <c r="G32" s="6">
        <v>0</v>
      </c>
      <c r="H32" s="6">
        <v>65535</v>
      </c>
      <c r="I32" s="6" t="s">
        <v>89</v>
      </c>
      <c r="J32" s="6" t="s">
        <v>121</v>
      </c>
      <c r="K32" s="5" t="s">
        <v>165</v>
      </c>
      <c r="L32" s="6" t="s">
        <v>25</v>
      </c>
      <c r="M32" s="8" t="s">
        <v>76</v>
      </c>
      <c r="N32" s="5" t="s">
        <v>166</v>
      </c>
    </row>
    <row r="33" spans="1:14" ht="30" customHeight="1" x14ac:dyDescent="0.25">
      <c r="A33" s="31" t="s">
        <v>167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4" spans="1:14" ht="30" customHeight="1" x14ac:dyDescent="0.25">
      <c r="A34" s="2" t="s">
        <v>168</v>
      </c>
      <c r="B34" s="2" t="s">
        <v>169</v>
      </c>
      <c r="C34" s="3" t="s">
        <v>170</v>
      </c>
      <c r="D34" s="3" t="s">
        <v>137</v>
      </c>
      <c r="E34" s="3" t="s">
        <v>21</v>
      </c>
      <c r="F34" s="3">
        <v>20</v>
      </c>
      <c r="G34" s="3">
        <v>0</v>
      </c>
      <c r="H34" s="3">
        <v>15</v>
      </c>
      <c r="I34" s="3" t="s">
        <v>138</v>
      </c>
      <c r="J34" s="3" t="s">
        <v>38</v>
      </c>
      <c r="K34" s="2" t="s">
        <v>171</v>
      </c>
      <c r="L34" s="3" t="s">
        <v>172</v>
      </c>
      <c r="M34" s="4" t="s">
        <v>26</v>
      </c>
      <c r="N34" s="2" t="s">
        <v>173</v>
      </c>
    </row>
    <row r="35" spans="1:14" ht="30" customHeight="1" x14ac:dyDescent="0.25">
      <c r="A35" s="5" t="s">
        <v>174</v>
      </c>
      <c r="B35" s="5" t="s">
        <v>175</v>
      </c>
      <c r="C35" s="6" t="s">
        <v>170</v>
      </c>
      <c r="D35" s="6" t="s">
        <v>137</v>
      </c>
      <c r="E35" s="6" t="s">
        <v>58</v>
      </c>
      <c r="F35" s="6">
        <v>20</v>
      </c>
      <c r="G35" s="6">
        <v>0</v>
      </c>
      <c r="H35" s="6">
        <v>150</v>
      </c>
      <c r="I35" s="6" t="s">
        <v>176</v>
      </c>
      <c r="J35" s="6" t="s">
        <v>106</v>
      </c>
      <c r="K35" s="5" t="s">
        <v>177</v>
      </c>
      <c r="L35" s="6" t="s">
        <v>172</v>
      </c>
      <c r="M35" s="7" t="s">
        <v>26</v>
      </c>
      <c r="N35" s="5" t="s">
        <v>178</v>
      </c>
    </row>
    <row r="36" spans="1:14" ht="30" customHeight="1" x14ac:dyDescent="0.25">
      <c r="A36" s="2" t="s">
        <v>179</v>
      </c>
      <c r="B36" s="2" t="s">
        <v>180</v>
      </c>
      <c r="C36" s="3" t="s">
        <v>170</v>
      </c>
      <c r="D36" s="3" t="s">
        <v>137</v>
      </c>
      <c r="E36" s="3" t="s">
        <v>90</v>
      </c>
      <c r="F36" s="3">
        <v>20</v>
      </c>
      <c r="G36" s="3">
        <v>0.3</v>
      </c>
      <c r="H36" s="3">
        <v>0.8</v>
      </c>
      <c r="I36" s="3" t="s">
        <v>181</v>
      </c>
      <c r="J36" s="3" t="s">
        <v>182</v>
      </c>
      <c r="K36" s="2" t="s">
        <v>183</v>
      </c>
      <c r="L36" s="3" t="s">
        <v>172</v>
      </c>
      <c r="M36" s="9" t="s">
        <v>76</v>
      </c>
      <c r="N36" s="2" t="s">
        <v>184</v>
      </c>
    </row>
    <row r="37" spans="1:14" ht="30" customHeight="1" x14ac:dyDescent="0.25">
      <c r="A37" s="5" t="s">
        <v>185</v>
      </c>
      <c r="B37" s="5" t="s">
        <v>186</v>
      </c>
      <c r="C37" s="6" t="s">
        <v>170</v>
      </c>
      <c r="D37" s="6" t="s">
        <v>137</v>
      </c>
      <c r="E37" s="6" t="s">
        <v>126</v>
      </c>
      <c r="F37" s="6">
        <v>1</v>
      </c>
      <c r="G37" s="6">
        <v>0</v>
      </c>
      <c r="H37" s="6">
        <v>2</v>
      </c>
      <c r="I37" s="6" t="s">
        <v>160</v>
      </c>
      <c r="J37" s="6" t="s">
        <v>38</v>
      </c>
      <c r="K37" s="5" t="s">
        <v>187</v>
      </c>
      <c r="L37" s="6" t="s">
        <v>172</v>
      </c>
      <c r="M37" s="10" t="s">
        <v>188</v>
      </c>
      <c r="N37" s="5" t="s">
        <v>189</v>
      </c>
    </row>
    <row r="38" spans="1:14" ht="24" x14ac:dyDescent="0.25">
      <c r="A38" s="2" t="s">
        <v>190</v>
      </c>
      <c r="B38" s="2" t="s">
        <v>191</v>
      </c>
      <c r="C38" s="3" t="s">
        <v>170</v>
      </c>
      <c r="D38" s="3" t="s">
        <v>137</v>
      </c>
      <c r="E38" s="3" t="s">
        <v>192</v>
      </c>
      <c r="F38" s="3">
        <v>20</v>
      </c>
      <c r="G38" s="3">
        <v>0</v>
      </c>
      <c r="H38" s="3">
        <v>50</v>
      </c>
      <c r="I38" s="3" t="s">
        <v>193</v>
      </c>
      <c r="J38" s="3" t="s">
        <v>121</v>
      </c>
      <c r="K38" s="2" t="s">
        <v>194</v>
      </c>
      <c r="L38" s="3" t="s">
        <v>172</v>
      </c>
      <c r="M38" s="9" t="s">
        <v>76</v>
      </c>
      <c r="N38" s="2" t="s">
        <v>195</v>
      </c>
    </row>
  </sheetData>
  <mergeCells count="5">
    <mergeCell ref="A4:N4"/>
    <mergeCell ref="A26:N26"/>
    <mergeCell ref="A2:N2"/>
    <mergeCell ref="A33:N33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zoomScaleNormal="100" workbookViewId="0">
      <pane ySplit="3" topLeftCell="A11" activePane="bottomLeft" state="frozen"/>
      <selection pane="bottomLeft" activeCell="H8" sqref="H8"/>
    </sheetView>
  </sheetViews>
  <sheetFormatPr defaultColWidth="8.7109375" defaultRowHeight="15" x14ac:dyDescent="0.25"/>
  <cols>
    <col min="1" max="1" width="12" customWidth="1"/>
    <col min="2" max="2" width="24" customWidth="1"/>
    <col min="3" max="3" width="14" customWidth="1"/>
    <col min="4" max="4" width="13" customWidth="1"/>
    <col min="5" max="5" width="10" customWidth="1"/>
    <col min="6" max="6" width="20" customWidth="1"/>
    <col min="7" max="7" width="10" customWidth="1"/>
    <col min="8" max="8" width="69.5703125" customWidth="1"/>
  </cols>
  <sheetData>
    <row r="1" spans="1:8" ht="24" customHeight="1" x14ac:dyDescent="0.25">
      <c r="A1" s="33" t="s">
        <v>196</v>
      </c>
      <c r="B1" s="30"/>
      <c r="C1" s="30"/>
      <c r="D1" s="30"/>
      <c r="E1" s="30"/>
      <c r="F1" s="30"/>
      <c r="G1" s="30"/>
      <c r="H1" s="30"/>
    </row>
    <row r="2" spans="1:8" ht="15.75" customHeight="1" x14ac:dyDescent="0.25">
      <c r="A2" s="29" t="s">
        <v>197</v>
      </c>
      <c r="B2" s="30"/>
      <c r="C2" s="30"/>
      <c r="D2" s="30"/>
      <c r="E2" s="30"/>
      <c r="F2" s="30"/>
      <c r="G2" s="30"/>
      <c r="H2" s="30"/>
    </row>
    <row r="3" spans="1:8" ht="21.75" customHeight="1" x14ac:dyDescent="0.25">
      <c r="A3" s="34" t="s">
        <v>198</v>
      </c>
      <c r="B3" s="30"/>
      <c r="C3" s="30"/>
      <c r="D3" s="30"/>
      <c r="E3" s="30"/>
      <c r="F3" s="30"/>
      <c r="G3" s="30"/>
      <c r="H3" s="30"/>
    </row>
    <row r="4" spans="1:8" ht="19.5" customHeight="1" x14ac:dyDescent="0.25">
      <c r="A4" s="1" t="s">
        <v>199</v>
      </c>
      <c r="B4" s="1" t="s">
        <v>200</v>
      </c>
      <c r="C4" s="1" t="s">
        <v>201</v>
      </c>
      <c r="D4" s="1" t="s">
        <v>202</v>
      </c>
      <c r="E4" s="1" t="s">
        <v>6</v>
      </c>
      <c r="F4" s="1" t="s">
        <v>203</v>
      </c>
      <c r="G4" s="1" t="s">
        <v>204</v>
      </c>
      <c r="H4" s="1" t="s">
        <v>15</v>
      </c>
    </row>
    <row r="5" spans="1:8" ht="26.25" customHeight="1" x14ac:dyDescent="0.25">
      <c r="A5" s="19">
        <v>0</v>
      </c>
      <c r="B5" s="19" t="s">
        <v>205</v>
      </c>
      <c r="C5" s="19" t="s">
        <v>206</v>
      </c>
      <c r="D5" s="19">
        <v>1</v>
      </c>
      <c r="E5" s="19" t="s">
        <v>89</v>
      </c>
      <c r="F5" s="19" t="s">
        <v>207</v>
      </c>
      <c r="G5" s="19" t="s">
        <v>208</v>
      </c>
      <c r="H5" s="18" t="s">
        <v>209</v>
      </c>
    </row>
    <row r="6" spans="1:8" ht="26.25" customHeight="1" x14ac:dyDescent="0.25">
      <c r="A6" s="22">
        <v>1</v>
      </c>
      <c r="B6" s="22" t="s">
        <v>210</v>
      </c>
      <c r="C6" s="22" t="s">
        <v>211</v>
      </c>
      <c r="D6" s="22">
        <v>4</v>
      </c>
      <c r="E6" s="22" t="s">
        <v>192</v>
      </c>
      <c r="F6" s="22" t="s">
        <v>212</v>
      </c>
      <c r="G6" s="22" t="s">
        <v>38</v>
      </c>
      <c r="H6" s="21" t="s">
        <v>213</v>
      </c>
    </row>
    <row r="7" spans="1:8" ht="26.25" customHeight="1" x14ac:dyDescent="0.25">
      <c r="A7" s="19">
        <v>5</v>
      </c>
      <c r="B7" s="19" t="s">
        <v>214</v>
      </c>
      <c r="C7" s="19" t="s">
        <v>215</v>
      </c>
      <c r="D7" s="19">
        <v>2</v>
      </c>
      <c r="E7" s="19" t="s">
        <v>89</v>
      </c>
      <c r="F7" s="19" t="s">
        <v>216</v>
      </c>
      <c r="G7" s="19" t="s">
        <v>38</v>
      </c>
      <c r="H7" s="18" t="s">
        <v>217</v>
      </c>
    </row>
    <row r="8" spans="1:8" ht="26.25" customHeight="1" x14ac:dyDescent="0.25">
      <c r="A8" s="22">
        <v>7</v>
      </c>
      <c r="B8" s="22" t="s">
        <v>17</v>
      </c>
      <c r="C8" s="22" t="s">
        <v>218</v>
      </c>
      <c r="D8" s="22">
        <v>4</v>
      </c>
      <c r="E8" s="22" t="s">
        <v>21</v>
      </c>
      <c r="F8" s="22" t="s">
        <v>219</v>
      </c>
      <c r="G8" s="22" t="s">
        <v>38</v>
      </c>
      <c r="H8" s="21" t="s">
        <v>220</v>
      </c>
    </row>
    <row r="9" spans="1:8" ht="26.25" customHeight="1" x14ac:dyDescent="0.25">
      <c r="A9" s="19">
        <v>11</v>
      </c>
      <c r="B9" s="19" t="s">
        <v>28</v>
      </c>
      <c r="C9" s="19" t="s">
        <v>218</v>
      </c>
      <c r="D9" s="19">
        <v>4</v>
      </c>
      <c r="E9" s="19" t="s">
        <v>30</v>
      </c>
      <c r="F9" s="19" t="s">
        <v>221</v>
      </c>
      <c r="G9" s="19" t="s">
        <v>222</v>
      </c>
      <c r="H9" s="18" t="s">
        <v>223</v>
      </c>
    </row>
    <row r="10" spans="1:8" ht="26.25" customHeight="1" x14ac:dyDescent="0.25">
      <c r="A10" s="22">
        <v>15</v>
      </c>
      <c r="B10" s="22" t="s">
        <v>34</v>
      </c>
      <c r="C10" s="22" t="s">
        <v>218</v>
      </c>
      <c r="D10" s="22">
        <v>4</v>
      </c>
      <c r="E10" s="22" t="s">
        <v>36</v>
      </c>
      <c r="F10" s="22" t="s">
        <v>224</v>
      </c>
      <c r="G10" s="22" t="s">
        <v>38</v>
      </c>
      <c r="H10" s="21" t="s">
        <v>225</v>
      </c>
    </row>
    <row r="11" spans="1:8" ht="26.25" customHeight="1" x14ac:dyDescent="0.25">
      <c r="A11" s="19">
        <v>19</v>
      </c>
      <c r="B11" s="19" t="s">
        <v>41</v>
      </c>
      <c r="C11" s="19" t="s">
        <v>218</v>
      </c>
      <c r="D11" s="19">
        <v>4</v>
      </c>
      <c r="E11" s="19" t="s">
        <v>36</v>
      </c>
      <c r="F11" s="19" t="s">
        <v>226</v>
      </c>
      <c r="G11" s="19" t="s">
        <v>38</v>
      </c>
      <c r="H11" s="18" t="s">
        <v>227</v>
      </c>
    </row>
    <row r="12" spans="1:8" ht="26.25" customHeight="1" x14ac:dyDescent="0.25">
      <c r="A12" s="22">
        <v>23</v>
      </c>
      <c r="B12" s="22" t="s">
        <v>46</v>
      </c>
      <c r="C12" s="22" t="s">
        <v>218</v>
      </c>
      <c r="D12" s="22">
        <v>4</v>
      </c>
      <c r="E12" s="22" t="s">
        <v>30</v>
      </c>
      <c r="F12" s="22" t="s">
        <v>228</v>
      </c>
      <c r="G12" s="22" t="s">
        <v>222</v>
      </c>
      <c r="H12" s="21" t="s">
        <v>229</v>
      </c>
    </row>
    <row r="13" spans="1:8" ht="26.25" customHeight="1" x14ac:dyDescent="0.25">
      <c r="A13" s="19">
        <v>27</v>
      </c>
      <c r="B13" s="19" t="s">
        <v>51</v>
      </c>
      <c r="C13" s="19" t="s">
        <v>218</v>
      </c>
      <c r="D13" s="19">
        <v>4</v>
      </c>
      <c r="E13" s="19" t="s">
        <v>36</v>
      </c>
      <c r="F13" s="19" t="s">
        <v>230</v>
      </c>
      <c r="G13" s="19" t="s">
        <v>38</v>
      </c>
      <c r="H13" s="18" t="s">
        <v>231</v>
      </c>
    </row>
    <row r="14" spans="1:8" ht="26.25" customHeight="1" x14ac:dyDescent="0.25">
      <c r="A14" s="22">
        <v>31</v>
      </c>
      <c r="B14" s="22" t="s">
        <v>67</v>
      </c>
      <c r="C14" s="22" t="s">
        <v>218</v>
      </c>
      <c r="D14" s="22">
        <v>4</v>
      </c>
      <c r="E14" s="22" t="s">
        <v>30</v>
      </c>
      <c r="F14" s="22" t="s">
        <v>232</v>
      </c>
      <c r="G14" s="22" t="s">
        <v>233</v>
      </c>
      <c r="H14" s="21" t="s">
        <v>234</v>
      </c>
    </row>
    <row r="15" spans="1:8" ht="26.25" customHeight="1" x14ac:dyDescent="0.25">
      <c r="A15" s="19">
        <v>35</v>
      </c>
      <c r="B15" s="19" t="s">
        <v>72</v>
      </c>
      <c r="C15" s="19" t="s">
        <v>218</v>
      </c>
      <c r="D15" s="19">
        <v>4</v>
      </c>
      <c r="E15" s="19" t="s">
        <v>30</v>
      </c>
      <c r="F15" s="19" t="s">
        <v>235</v>
      </c>
      <c r="G15" s="19" t="s">
        <v>38</v>
      </c>
      <c r="H15" s="18" t="s">
        <v>236</v>
      </c>
    </row>
    <row r="16" spans="1:8" ht="26.25" customHeight="1" x14ac:dyDescent="0.25">
      <c r="A16" s="22">
        <v>39</v>
      </c>
      <c r="B16" s="22" t="s">
        <v>83</v>
      </c>
      <c r="C16" s="22" t="s">
        <v>218</v>
      </c>
      <c r="D16" s="22">
        <v>4</v>
      </c>
      <c r="E16" s="22" t="s">
        <v>30</v>
      </c>
      <c r="F16" s="22" t="s">
        <v>237</v>
      </c>
      <c r="G16" s="22" t="s">
        <v>38</v>
      </c>
      <c r="H16" s="21" t="s">
        <v>238</v>
      </c>
    </row>
    <row r="17" spans="1:8" ht="26.25" customHeight="1" x14ac:dyDescent="0.25">
      <c r="A17" s="19">
        <v>43</v>
      </c>
      <c r="B17" s="19" t="s">
        <v>87</v>
      </c>
      <c r="C17" s="19" t="s">
        <v>218</v>
      </c>
      <c r="D17" s="19">
        <v>4</v>
      </c>
      <c r="E17" s="19" t="s">
        <v>89</v>
      </c>
      <c r="F17" s="19" t="s">
        <v>239</v>
      </c>
      <c r="G17" s="19" t="s">
        <v>38</v>
      </c>
      <c r="H17" s="18" t="s">
        <v>240</v>
      </c>
    </row>
    <row r="18" spans="1:8" ht="26.25" customHeight="1" x14ac:dyDescent="0.25">
      <c r="A18" s="22">
        <v>47</v>
      </c>
      <c r="B18" s="22" t="s">
        <v>241</v>
      </c>
      <c r="C18" s="22" t="s">
        <v>215</v>
      </c>
      <c r="D18" s="22">
        <v>2</v>
      </c>
      <c r="E18" s="22" t="s">
        <v>95</v>
      </c>
      <c r="F18" s="22" t="s">
        <v>242</v>
      </c>
      <c r="G18" s="22" t="s">
        <v>38</v>
      </c>
      <c r="H18" s="21" t="s">
        <v>243</v>
      </c>
    </row>
    <row r="19" spans="1:8" ht="26.25" customHeight="1" x14ac:dyDescent="0.25">
      <c r="A19" s="19">
        <v>49</v>
      </c>
      <c r="B19" s="19" t="s">
        <v>244</v>
      </c>
      <c r="C19" s="19" t="s">
        <v>215</v>
      </c>
      <c r="D19" s="19">
        <v>2</v>
      </c>
      <c r="E19" s="19" t="s">
        <v>95</v>
      </c>
      <c r="F19" s="19" t="s">
        <v>242</v>
      </c>
      <c r="G19" s="19" t="s">
        <v>38</v>
      </c>
      <c r="H19" s="18" t="s">
        <v>245</v>
      </c>
    </row>
    <row r="20" spans="1:8" ht="26.25" customHeight="1" x14ac:dyDescent="0.25">
      <c r="A20" s="22">
        <v>51</v>
      </c>
      <c r="B20" s="22" t="s">
        <v>102</v>
      </c>
      <c r="C20" s="22" t="s">
        <v>206</v>
      </c>
      <c r="D20" s="22">
        <v>1</v>
      </c>
      <c r="E20" s="22" t="s">
        <v>104</v>
      </c>
      <c r="F20" s="22" t="s">
        <v>246</v>
      </c>
      <c r="G20" s="22">
        <v>0</v>
      </c>
      <c r="H20" s="21" t="s">
        <v>247</v>
      </c>
    </row>
    <row r="21" spans="1:8" ht="26.25" customHeight="1" x14ac:dyDescent="0.25">
      <c r="A21" s="19">
        <v>52</v>
      </c>
      <c r="B21" s="19" t="s">
        <v>109</v>
      </c>
      <c r="C21" s="19" t="s">
        <v>206</v>
      </c>
      <c r="D21" s="19">
        <v>1</v>
      </c>
      <c r="E21" s="19" t="s">
        <v>104</v>
      </c>
      <c r="F21" s="19" t="s">
        <v>248</v>
      </c>
      <c r="G21" s="19" t="s">
        <v>38</v>
      </c>
      <c r="H21" s="18" t="s">
        <v>249</v>
      </c>
    </row>
    <row r="22" spans="1:8" ht="26.25" customHeight="1" x14ac:dyDescent="0.25">
      <c r="A22" s="22">
        <v>53</v>
      </c>
      <c r="B22" s="22" t="s">
        <v>114</v>
      </c>
      <c r="C22" s="22" t="s">
        <v>215</v>
      </c>
      <c r="D22" s="22">
        <v>2</v>
      </c>
      <c r="E22" s="22" t="s">
        <v>104</v>
      </c>
      <c r="F22" s="22" t="s">
        <v>250</v>
      </c>
      <c r="G22" s="22" t="s">
        <v>38</v>
      </c>
      <c r="H22" s="21" t="s">
        <v>251</v>
      </c>
    </row>
    <row r="23" spans="1:8" ht="26.25" customHeight="1" x14ac:dyDescent="0.25">
      <c r="A23" s="19">
        <v>55</v>
      </c>
      <c r="B23" s="19" t="s">
        <v>124</v>
      </c>
      <c r="C23" s="19" t="s">
        <v>206</v>
      </c>
      <c r="D23" s="19">
        <v>1</v>
      </c>
      <c r="E23" s="19" t="s">
        <v>126</v>
      </c>
      <c r="F23" s="19" t="s">
        <v>252</v>
      </c>
      <c r="G23" s="19">
        <v>0</v>
      </c>
      <c r="H23" s="18" t="s">
        <v>253</v>
      </c>
    </row>
    <row r="24" spans="1:8" ht="26.25" customHeight="1" x14ac:dyDescent="0.25">
      <c r="A24" s="22">
        <v>56</v>
      </c>
      <c r="B24" s="22" t="s">
        <v>129</v>
      </c>
      <c r="C24" s="22" t="s">
        <v>206</v>
      </c>
      <c r="D24" s="22">
        <v>1</v>
      </c>
      <c r="E24" s="22" t="s">
        <v>126</v>
      </c>
      <c r="F24" s="22" t="s">
        <v>254</v>
      </c>
      <c r="G24" s="22">
        <v>0</v>
      </c>
      <c r="H24" s="21" t="s">
        <v>130</v>
      </c>
    </row>
    <row r="25" spans="1:8" ht="26.25" customHeight="1" x14ac:dyDescent="0.25">
      <c r="A25" s="19">
        <v>57</v>
      </c>
      <c r="B25" s="19" t="s">
        <v>255</v>
      </c>
      <c r="C25" s="19" t="s">
        <v>206</v>
      </c>
      <c r="D25" s="19">
        <v>1</v>
      </c>
      <c r="E25" s="19" t="s">
        <v>89</v>
      </c>
      <c r="F25" s="19" t="s">
        <v>256</v>
      </c>
      <c r="G25" s="19" t="s">
        <v>89</v>
      </c>
      <c r="H25" s="18" t="s">
        <v>257</v>
      </c>
    </row>
    <row r="26" spans="1:8" x14ac:dyDescent="0.25">
      <c r="A26" s="37" t="s">
        <v>258</v>
      </c>
      <c r="B26" s="30"/>
      <c r="C26" s="30"/>
      <c r="D26" s="30"/>
      <c r="E26" s="30"/>
      <c r="F26" s="30"/>
      <c r="G26" s="30"/>
    </row>
    <row r="27" spans="1:8" ht="21.75" customHeight="1" x14ac:dyDescent="0.25"/>
    <row r="28" spans="1:8" ht="19.5" customHeight="1" x14ac:dyDescent="0.25">
      <c r="A28" s="36" t="s">
        <v>259</v>
      </c>
      <c r="B28" s="30"/>
      <c r="C28" s="30"/>
      <c r="D28" s="30"/>
      <c r="E28" s="30"/>
      <c r="F28" s="30"/>
      <c r="G28" s="30"/>
      <c r="H28" s="30"/>
    </row>
    <row r="29" spans="1:8" ht="19.5" customHeight="1" x14ac:dyDescent="0.25">
      <c r="A29" s="1" t="s">
        <v>199</v>
      </c>
      <c r="B29" s="1" t="s">
        <v>200</v>
      </c>
      <c r="C29" s="1" t="s">
        <v>201</v>
      </c>
      <c r="D29" s="1" t="s">
        <v>202</v>
      </c>
      <c r="E29" s="1" t="s">
        <v>6</v>
      </c>
      <c r="F29" s="1" t="s">
        <v>203</v>
      </c>
      <c r="G29" s="1" t="s">
        <v>204</v>
      </c>
      <c r="H29" s="1" t="s">
        <v>15</v>
      </c>
    </row>
    <row r="30" spans="1:8" ht="19.5" customHeight="1" x14ac:dyDescent="0.25">
      <c r="A30" s="3">
        <v>0</v>
      </c>
      <c r="B30" s="3" t="s">
        <v>205</v>
      </c>
      <c r="C30" s="3" t="s">
        <v>206</v>
      </c>
      <c r="D30" s="3">
        <v>1</v>
      </c>
      <c r="E30" s="3" t="s">
        <v>89</v>
      </c>
      <c r="F30" s="3" t="s">
        <v>260</v>
      </c>
      <c r="G30" s="3" t="s">
        <v>261</v>
      </c>
      <c r="H30" s="2" t="s">
        <v>209</v>
      </c>
    </row>
    <row r="31" spans="1:8" ht="19.5" customHeight="1" x14ac:dyDescent="0.25">
      <c r="A31" s="6">
        <v>1</v>
      </c>
      <c r="B31" s="6" t="s">
        <v>210</v>
      </c>
      <c r="C31" s="6" t="s">
        <v>211</v>
      </c>
      <c r="D31" s="6">
        <v>4</v>
      </c>
      <c r="E31" s="6" t="s">
        <v>192</v>
      </c>
      <c r="F31" s="6" t="s">
        <v>262</v>
      </c>
      <c r="G31" s="6" t="s">
        <v>38</v>
      </c>
      <c r="H31" s="5" t="s">
        <v>263</v>
      </c>
    </row>
    <row r="32" spans="1:8" ht="19.5" customHeight="1" x14ac:dyDescent="0.25">
      <c r="A32" s="3">
        <v>5</v>
      </c>
      <c r="B32" s="3" t="s">
        <v>214</v>
      </c>
      <c r="C32" s="3" t="s">
        <v>215</v>
      </c>
      <c r="D32" s="3">
        <v>2</v>
      </c>
      <c r="E32" s="3" t="s">
        <v>89</v>
      </c>
      <c r="F32" s="3" t="s">
        <v>216</v>
      </c>
      <c r="G32" s="3" t="s">
        <v>38</v>
      </c>
      <c r="H32" s="2" t="s">
        <v>264</v>
      </c>
    </row>
    <row r="33" spans="1:8" ht="19.5" customHeight="1" x14ac:dyDescent="0.25">
      <c r="A33" s="6">
        <v>7</v>
      </c>
      <c r="B33" s="6" t="s">
        <v>134</v>
      </c>
      <c r="C33" s="6" t="s">
        <v>218</v>
      </c>
      <c r="D33" s="6">
        <v>4</v>
      </c>
      <c r="E33" s="6" t="s">
        <v>21</v>
      </c>
      <c r="F33" s="6" t="s">
        <v>219</v>
      </c>
      <c r="G33" s="6" t="s">
        <v>38</v>
      </c>
      <c r="H33" s="5" t="s">
        <v>265</v>
      </c>
    </row>
    <row r="34" spans="1:8" ht="19.5" customHeight="1" x14ac:dyDescent="0.25">
      <c r="A34" s="3">
        <v>11</v>
      </c>
      <c r="B34" s="3" t="s">
        <v>142</v>
      </c>
      <c r="C34" s="3" t="s">
        <v>218</v>
      </c>
      <c r="D34" s="3">
        <v>4</v>
      </c>
      <c r="E34" s="3" t="s">
        <v>89</v>
      </c>
      <c r="F34" s="3" t="s">
        <v>239</v>
      </c>
      <c r="G34" s="3" t="s">
        <v>38</v>
      </c>
      <c r="H34" s="2" t="s">
        <v>266</v>
      </c>
    </row>
    <row r="35" spans="1:8" ht="19.5" customHeight="1" x14ac:dyDescent="0.25">
      <c r="A35" s="6">
        <v>15</v>
      </c>
      <c r="B35" s="6" t="s">
        <v>148</v>
      </c>
      <c r="C35" s="6" t="s">
        <v>218</v>
      </c>
      <c r="D35" s="6">
        <v>4</v>
      </c>
      <c r="E35" s="6" t="s">
        <v>36</v>
      </c>
      <c r="F35" s="6" t="s">
        <v>267</v>
      </c>
      <c r="G35" s="6" t="s">
        <v>38</v>
      </c>
      <c r="H35" s="5" t="s">
        <v>268</v>
      </c>
    </row>
    <row r="36" spans="1:8" ht="19.5" customHeight="1" x14ac:dyDescent="0.25">
      <c r="A36" s="3">
        <v>19</v>
      </c>
      <c r="B36" s="3" t="s">
        <v>153</v>
      </c>
      <c r="C36" s="3" t="s">
        <v>206</v>
      </c>
      <c r="D36" s="3">
        <v>1</v>
      </c>
      <c r="E36" s="3" t="s">
        <v>126</v>
      </c>
      <c r="F36" s="3" t="s">
        <v>269</v>
      </c>
      <c r="G36" s="3" t="s">
        <v>38</v>
      </c>
      <c r="H36" s="2" t="s">
        <v>270</v>
      </c>
    </row>
    <row r="37" spans="1:8" ht="19.5" customHeight="1" x14ac:dyDescent="0.25">
      <c r="A37" s="6">
        <v>20</v>
      </c>
      <c r="B37" s="6" t="s">
        <v>157</v>
      </c>
      <c r="C37" s="6" t="s">
        <v>206</v>
      </c>
      <c r="D37" s="6">
        <v>1</v>
      </c>
      <c r="E37" s="6" t="s">
        <v>159</v>
      </c>
      <c r="F37" s="6" t="s">
        <v>271</v>
      </c>
      <c r="G37" s="6" t="s">
        <v>38</v>
      </c>
      <c r="H37" s="5" t="s">
        <v>272</v>
      </c>
    </row>
    <row r="38" spans="1:8" ht="18" customHeight="1" x14ac:dyDescent="0.25">
      <c r="A38" s="3">
        <v>21</v>
      </c>
      <c r="B38" s="3" t="s">
        <v>255</v>
      </c>
      <c r="C38" s="3" t="s">
        <v>206</v>
      </c>
      <c r="D38" s="3">
        <v>1</v>
      </c>
      <c r="E38" s="3" t="s">
        <v>89</v>
      </c>
      <c r="F38" s="3" t="s">
        <v>273</v>
      </c>
      <c r="G38" s="3" t="s">
        <v>89</v>
      </c>
      <c r="H38" s="2" t="s">
        <v>274</v>
      </c>
    </row>
    <row r="39" spans="1:8" x14ac:dyDescent="0.25">
      <c r="A39" s="35" t="s">
        <v>275</v>
      </c>
      <c r="B39" s="30"/>
      <c r="C39" s="30"/>
      <c r="D39" s="30"/>
      <c r="E39" s="30"/>
      <c r="F39" s="30"/>
      <c r="G39" s="30"/>
    </row>
  </sheetData>
  <mergeCells count="6">
    <mergeCell ref="A1:H1"/>
    <mergeCell ref="A3:H3"/>
    <mergeCell ref="A2:H2"/>
    <mergeCell ref="A39:G39"/>
    <mergeCell ref="A28:H28"/>
    <mergeCell ref="A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42" customWidth="1"/>
    <col min="3" max="3" width="10" customWidth="1"/>
    <col min="4" max="4" width="24" customWidth="1"/>
    <col min="5" max="5" width="42" customWidth="1"/>
    <col min="6" max="6" width="32" customWidth="1"/>
    <col min="7" max="7" width="38" customWidth="1"/>
  </cols>
  <sheetData>
    <row r="1" spans="1:7" ht="24" customHeight="1" x14ac:dyDescent="0.25">
      <c r="A1" s="38" t="s">
        <v>276</v>
      </c>
      <c r="B1" s="30"/>
      <c r="C1" s="30"/>
      <c r="D1" s="30"/>
      <c r="E1" s="30"/>
      <c r="F1" s="30"/>
      <c r="G1" s="30"/>
    </row>
    <row r="2" spans="1:7" ht="21.75" customHeight="1" x14ac:dyDescent="0.25">
      <c r="A2" s="1" t="s">
        <v>277</v>
      </c>
      <c r="B2" s="1" t="s">
        <v>278</v>
      </c>
      <c r="C2" s="1" t="s">
        <v>5</v>
      </c>
      <c r="D2" s="1" t="s">
        <v>279</v>
      </c>
      <c r="E2" s="1" t="s">
        <v>280</v>
      </c>
      <c r="F2" s="1" t="s">
        <v>281</v>
      </c>
      <c r="G2" s="1" t="s">
        <v>15</v>
      </c>
    </row>
    <row r="3" spans="1:7" ht="36" customHeight="1" x14ac:dyDescent="0.25">
      <c r="A3" s="3" t="s">
        <v>282</v>
      </c>
      <c r="B3" s="2" t="s">
        <v>283</v>
      </c>
      <c r="C3" s="3" t="s">
        <v>20</v>
      </c>
      <c r="D3" s="3" t="s">
        <v>284</v>
      </c>
      <c r="E3" s="2" t="s">
        <v>285</v>
      </c>
      <c r="F3" s="2" t="s">
        <v>286</v>
      </c>
      <c r="G3" s="2" t="s">
        <v>287</v>
      </c>
    </row>
    <row r="4" spans="1:7" ht="36" customHeight="1" x14ac:dyDescent="0.25">
      <c r="A4" s="6" t="s">
        <v>288</v>
      </c>
      <c r="B4" s="5" t="s">
        <v>289</v>
      </c>
      <c r="C4" s="6" t="s">
        <v>137</v>
      </c>
      <c r="D4" s="6" t="s">
        <v>290</v>
      </c>
      <c r="E4" s="5" t="s">
        <v>291</v>
      </c>
      <c r="F4" s="5" t="s">
        <v>292</v>
      </c>
      <c r="G4" s="5" t="s">
        <v>293</v>
      </c>
    </row>
    <row r="5" spans="1:7" ht="36" customHeight="1" x14ac:dyDescent="0.25">
      <c r="A5" s="3" t="s">
        <v>294</v>
      </c>
      <c r="B5" s="2" t="s">
        <v>295</v>
      </c>
      <c r="C5" s="3" t="s">
        <v>137</v>
      </c>
      <c r="D5" s="3" t="s">
        <v>296</v>
      </c>
      <c r="E5" s="2" t="s">
        <v>297</v>
      </c>
      <c r="F5" s="2" t="s">
        <v>298</v>
      </c>
      <c r="G5" s="2" t="s">
        <v>299</v>
      </c>
    </row>
    <row r="6" spans="1:7" ht="36" customHeight="1" x14ac:dyDescent="0.25">
      <c r="A6" s="6" t="s">
        <v>300</v>
      </c>
      <c r="B6" s="5" t="s">
        <v>301</v>
      </c>
      <c r="C6" s="6" t="s">
        <v>137</v>
      </c>
      <c r="D6" s="6" t="s">
        <v>296</v>
      </c>
      <c r="E6" s="5" t="s">
        <v>302</v>
      </c>
      <c r="F6" s="5" t="s">
        <v>303</v>
      </c>
      <c r="G6" s="5" t="s">
        <v>304</v>
      </c>
    </row>
    <row r="7" spans="1:7" ht="36" customHeight="1" x14ac:dyDescent="0.25">
      <c r="A7" s="3" t="s">
        <v>305</v>
      </c>
      <c r="B7" s="2" t="s">
        <v>306</v>
      </c>
      <c r="C7" s="3" t="s">
        <v>20</v>
      </c>
      <c r="D7" s="3" t="s">
        <v>307</v>
      </c>
      <c r="E7" s="2" t="s">
        <v>308</v>
      </c>
      <c r="F7" s="2" t="s">
        <v>309</v>
      </c>
      <c r="G7" s="2" t="s">
        <v>310</v>
      </c>
    </row>
    <row r="8" spans="1:7" ht="36" customHeight="1" x14ac:dyDescent="0.25">
      <c r="A8" s="6" t="s">
        <v>311</v>
      </c>
      <c r="B8" s="5" t="s">
        <v>312</v>
      </c>
      <c r="C8" s="6" t="s">
        <v>20</v>
      </c>
      <c r="D8" s="6" t="s">
        <v>307</v>
      </c>
      <c r="E8" s="5" t="s">
        <v>313</v>
      </c>
      <c r="F8" s="5" t="s">
        <v>314</v>
      </c>
      <c r="G8" s="5" t="s">
        <v>315</v>
      </c>
    </row>
    <row r="9" spans="1:7" ht="36" customHeight="1" x14ac:dyDescent="0.25">
      <c r="A9" s="3" t="s">
        <v>316</v>
      </c>
      <c r="B9" s="2" t="s">
        <v>317</v>
      </c>
      <c r="C9" s="3" t="s">
        <v>20</v>
      </c>
      <c r="D9" s="3" t="s">
        <v>307</v>
      </c>
      <c r="E9" s="2" t="s">
        <v>318</v>
      </c>
      <c r="F9" s="2" t="s">
        <v>319</v>
      </c>
      <c r="G9" s="2" t="s">
        <v>320</v>
      </c>
    </row>
    <row r="10" spans="1:7" ht="36" customHeight="1" x14ac:dyDescent="0.25">
      <c r="A10" s="11" t="s">
        <v>321</v>
      </c>
      <c r="B10" s="12" t="s">
        <v>322</v>
      </c>
      <c r="C10" s="11" t="s">
        <v>20</v>
      </c>
      <c r="D10" s="11" t="s">
        <v>307</v>
      </c>
      <c r="E10" s="12" t="s">
        <v>323</v>
      </c>
      <c r="F10" s="12" t="s">
        <v>324</v>
      </c>
      <c r="G10" s="12" t="s">
        <v>325</v>
      </c>
    </row>
    <row r="11" spans="1:7" ht="36" customHeight="1" x14ac:dyDescent="0.25">
      <c r="A11" s="3" t="s">
        <v>326</v>
      </c>
      <c r="B11" s="2" t="s">
        <v>327</v>
      </c>
      <c r="C11" s="3" t="s">
        <v>20</v>
      </c>
      <c r="D11" s="3" t="s">
        <v>296</v>
      </c>
      <c r="E11" s="2" t="s">
        <v>328</v>
      </c>
      <c r="F11" s="2" t="s">
        <v>329</v>
      </c>
      <c r="G11" s="2" t="s">
        <v>330</v>
      </c>
    </row>
    <row r="12" spans="1:7" ht="36" customHeight="1" x14ac:dyDescent="0.25">
      <c r="A12" s="11" t="s">
        <v>331</v>
      </c>
      <c r="B12" s="12" t="s">
        <v>332</v>
      </c>
      <c r="C12" s="11" t="s">
        <v>20</v>
      </c>
      <c r="D12" s="11" t="s">
        <v>307</v>
      </c>
      <c r="E12" s="12" t="s">
        <v>333</v>
      </c>
      <c r="F12" s="12" t="s">
        <v>334</v>
      </c>
      <c r="G12" s="12" t="s">
        <v>335</v>
      </c>
    </row>
    <row r="13" spans="1:7" ht="36" customHeight="1" x14ac:dyDescent="0.25">
      <c r="A13" s="3" t="s">
        <v>336</v>
      </c>
      <c r="B13" s="2" t="s">
        <v>337</v>
      </c>
      <c r="C13" s="3" t="s">
        <v>137</v>
      </c>
      <c r="D13" s="3" t="s">
        <v>296</v>
      </c>
      <c r="E13" s="2" t="s">
        <v>338</v>
      </c>
      <c r="F13" s="2" t="s">
        <v>339</v>
      </c>
      <c r="G13" s="2" t="s">
        <v>340</v>
      </c>
    </row>
    <row r="14" spans="1:7" ht="36" customHeight="1" x14ac:dyDescent="0.25">
      <c r="A14" s="6" t="s">
        <v>341</v>
      </c>
      <c r="B14" s="5" t="s">
        <v>342</v>
      </c>
      <c r="C14" s="6" t="s">
        <v>137</v>
      </c>
      <c r="D14" s="6" t="s">
        <v>343</v>
      </c>
      <c r="E14" s="5" t="s">
        <v>344</v>
      </c>
      <c r="F14" s="5" t="s">
        <v>345</v>
      </c>
      <c r="G14" s="5" t="s">
        <v>346</v>
      </c>
    </row>
    <row r="15" spans="1:7" ht="36" customHeight="1" x14ac:dyDescent="0.25">
      <c r="A15" s="3" t="s">
        <v>347</v>
      </c>
      <c r="B15" s="2" t="s">
        <v>348</v>
      </c>
      <c r="C15" s="3" t="s">
        <v>137</v>
      </c>
      <c r="D15" s="3" t="s">
        <v>296</v>
      </c>
      <c r="E15" s="2" t="s">
        <v>349</v>
      </c>
      <c r="F15" s="2" t="s">
        <v>350</v>
      </c>
      <c r="G15" s="2" t="s">
        <v>351</v>
      </c>
    </row>
    <row r="16" spans="1:7" ht="36" customHeight="1" x14ac:dyDescent="0.25">
      <c r="A16" s="6" t="s">
        <v>352</v>
      </c>
      <c r="B16" s="5" t="s">
        <v>353</v>
      </c>
      <c r="C16" s="6" t="s">
        <v>137</v>
      </c>
      <c r="D16" s="6" t="s">
        <v>354</v>
      </c>
      <c r="E16" s="5" t="s">
        <v>355</v>
      </c>
      <c r="F16" s="5" t="s">
        <v>356</v>
      </c>
      <c r="G16" s="5" t="s">
        <v>357</v>
      </c>
    </row>
    <row r="17" spans="1:7" ht="36" customHeight="1" x14ac:dyDescent="0.25">
      <c r="A17" s="3" t="s">
        <v>358</v>
      </c>
      <c r="B17" s="2" t="s">
        <v>359</v>
      </c>
      <c r="C17" s="3" t="s">
        <v>360</v>
      </c>
      <c r="D17" s="3" t="s">
        <v>361</v>
      </c>
      <c r="E17" s="2" t="s">
        <v>362</v>
      </c>
      <c r="F17" s="2" t="s">
        <v>363</v>
      </c>
      <c r="G17" s="2" t="s">
        <v>364</v>
      </c>
    </row>
    <row r="18" spans="1:7" ht="36" customHeight="1" x14ac:dyDescent="0.25">
      <c r="A18" s="6" t="s">
        <v>365</v>
      </c>
      <c r="B18" s="5" t="s">
        <v>366</v>
      </c>
      <c r="C18" s="6" t="s">
        <v>360</v>
      </c>
      <c r="D18" s="6" t="s">
        <v>367</v>
      </c>
      <c r="E18" s="5" t="s">
        <v>368</v>
      </c>
      <c r="F18" s="5" t="s">
        <v>369</v>
      </c>
      <c r="G18" s="5" t="s">
        <v>370</v>
      </c>
    </row>
    <row r="19" spans="1:7" ht="36" customHeight="1" x14ac:dyDescent="0.25">
      <c r="A19" s="3" t="s">
        <v>371</v>
      </c>
      <c r="B19" s="2" t="s">
        <v>372</v>
      </c>
      <c r="C19" s="3" t="s">
        <v>20</v>
      </c>
      <c r="D19" s="3" t="s">
        <v>373</v>
      </c>
      <c r="E19" s="2" t="s">
        <v>374</v>
      </c>
      <c r="F19" s="2" t="s">
        <v>375</v>
      </c>
      <c r="G19" s="2" t="s">
        <v>376</v>
      </c>
    </row>
    <row r="20" spans="1:7" ht="36" customHeight="1" x14ac:dyDescent="0.25">
      <c r="A20" s="6" t="s">
        <v>377</v>
      </c>
      <c r="B20" s="5" t="s">
        <v>378</v>
      </c>
      <c r="C20" s="6" t="s">
        <v>20</v>
      </c>
      <c r="D20" s="6" t="s">
        <v>373</v>
      </c>
      <c r="E20" s="5" t="s">
        <v>379</v>
      </c>
      <c r="F20" s="5" t="s">
        <v>380</v>
      </c>
      <c r="G20" s="5" t="s">
        <v>381</v>
      </c>
    </row>
    <row r="21" spans="1:7" ht="36" customHeight="1" x14ac:dyDescent="0.25">
      <c r="A21" s="3" t="s">
        <v>382</v>
      </c>
      <c r="B21" s="2" t="s">
        <v>383</v>
      </c>
      <c r="C21" s="3" t="s">
        <v>20</v>
      </c>
      <c r="D21" s="3" t="s">
        <v>373</v>
      </c>
      <c r="E21" s="2" t="s">
        <v>384</v>
      </c>
      <c r="F21" s="2" t="s">
        <v>380</v>
      </c>
      <c r="G21" s="2" t="s">
        <v>385</v>
      </c>
    </row>
    <row r="22" spans="1:7" ht="36" customHeight="1" x14ac:dyDescent="0.25">
      <c r="A22" s="6" t="s">
        <v>386</v>
      </c>
      <c r="B22" s="5" t="s">
        <v>387</v>
      </c>
      <c r="C22" s="6" t="s">
        <v>20</v>
      </c>
      <c r="D22" s="6" t="s">
        <v>388</v>
      </c>
      <c r="E22" s="5" t="s">
        <v>389</v>
      </c>
      <c r="F22" s="5" t="s">
        <v>380</v>
      </c>
      <c r="G22" s="5" t="s">
        <v>390</v>
      </c>
    </row>
    <row r="23" spans="1:7" ht="36" customHeight="1" x14ac:dyDescent="0.25">
      <c r="A23" s="3" t="s">
        <v>391</v>
      </c>
      <c r="B23" s="2" t="s">
        <v>392</v>
      </c>
      <c r="C23" s="3" t="s">
        <v>20</v>
      </c>
      <c r="D23" s="3" t="s">
        <v>373</v>
      </c>
      <c r="E23" s="2" t="s">
        <v>393</v>
      </c>
      <c r="F23" s="2" t="s">
        <v>380</v>
      </c>
      <c r="G23" s="2" t="s">
        <v>394</v>
      </c>
    </row>
    <row r="24" spans="1:7" ht="36" customHeight="1" x14ac:dyDescent="0.25">
      <c r="A24" s="6" t="s">
        <v>395</v>
      </c>
      <c r="B24" s="5" t="s">
        <v>396</v>
      </c>
      <c r="C24" s="6" t="s">
        <v>20</v>
      </c>
      <c r="D24" s="6" t="s">
        <v>397</v>
      </c>
      <c r="E24" s="5" t="s">
        <v>398</v>
      </c>
      <c r="F24" s="5" t="s">
        <v>380</v>
      </c>
      <c r="G24" s="5" t="s">
        <v>399</v>
      </c>
    </row>
    <row r="25" spans="1:7" ht="36" customHeight="1" x14ac:dyDescent="0.25">
      <c r="A25" s="3" t="s">
        <v>400</v>
      </c>
      <c r="B25" s="2" t="s">
        <v>401</v>
      </c>
      <c r="C25" s="3" t="s">
        <v>20</v>
      </c>
      <c r="D25" s="3" t="s">
        <v>397</v>
      </c>
      <c r="E25" s="2" t="s">
        <v>402</v>
      </c>
      <c r="F25" s="2" t="s">
        <v>380</v>
      </c>
      <c r="G25" s="2" t="s">
        <v>403</v>
      </c>
    </row>
    <row r="26" spans="1:7" ht="36" customHeight="1" x14ac:dyDescent="0.25">
      <c r="A26" s="6" t="s">
        <v>404</v>
      </c>
      <c r="B26" s="5" t="s">
        <v>405</v>
      </c>
      <c r="C26" s="6" t="s">
        <v>20</v>
      </c>
      <c r="D26" s="6" t="s">
        <v>406</v>
      </c>
      <c r="E26" s="5" t="s">
        <v>407</v>
      </c>
      <c r="F26" s="5" t="s">
        <v>380</v>
      </c>
      <c r="G26" s="5" t="s">
        <v>408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32" customWidth="1"/>
    <col min="4" max="8" width="16" customWidth="1"/>
  </cols>
  <sheetData>
    <row r="1" spans="1:10" ht="24" customHeight="1" x14ac:dyDescent="0.25">
      <c r="A1" s="38" t="s">
        <v>409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19.5" customHeight="1" x14ac:dyDescent="0.25">
      <c r="A3" s="39" t="s">
        <v>410</v>
      </c>
      <c r="B3" s="30"/>
      <c r="D3" s="39" t="s">
        <v>411</v>
      </c>
      <c r="E3" s="30"/>
      <c r="F3" s="30"/>
      <c r="G3" s="30"/>
      <c r="H3" s="30"/>
    </row>
    <row r="4" spans="1:10" ht="31.5" customHeight="1" x14ac:dyDescent="0.25">
      <c r="A4" s="13" t="s">
        <v>412</v>
      </c>
      <c r="B4" s="5" t="s">
        <v>413</v>
      </c>
      <c r="D4" s="1" t="s">
        <v>414</v>
      </c>
      <c r="E4" s="1" t="s">
        <v>415</v>
      </c>
      <c r="F4" s="1" t="s">
        <v>416</v>
      </c>
      <c r="G4" s="1" t="s">
        <v>417</v>
      </c>
      <c r="H4" s="1" t="s">
        <v>418</v>
      </c>
    </row>
    <row r="5" spans="1:10" ht="18" customHeight="1" x14ac:dyDescent="0.25">
      <c r="A5" s="14" t="s">
        <v>419</v>
      </c>
      <c r="B5" s="2" t="s">
        <v>420</v>
      </c>
      <c r="D5" s="6">
        <v>0</v>
      </c>
      <c r="E5" s="6">
        <v>12.2</v>
      </c>
      <c r="F5" s="6">
        <v>0</v>
      </c>
      <c r="G5" s="6">
        <v>0</v>
      </c>
      <c r="H5" s="6">
        <v>0</v>
      </c>
    </row>
    <row r="6" spans="1:10" ht="18" customHeight="1" x14ac:dyDescent="0.25">
      <c r="A6" s="13" t="s">
        <v>421</v>
      </c>
      <c r="B6" s="5" t="s">
        <v>422</v>
      </c>
      <c r="D6" s="3">
        <v>0.1</v>
      </c>
      <c r="E6" s="3">
        <v>11.8</v>
      </c>
      <c r="F6" s="3">
        <v>1.18</v>
      </c>
      <c r="G6" s="3">
        <v>61.3</v>
      </c>
      <c r="H6" s="3">
        <v>8</v>
      </c>
    </row>
    <row r="7" spans="1:10" ht="18" customHeight="1" x14ac:dyDescent="0.25">
      <c r="A7" s="14" t="s">
        <v>423</v>
      </c>
      <c r="B7" s="2" t="s">
        <v>424</v>
      </c>
      <c r="D7" s="6">
        <v>0.2</v>
      </c>
      <c r="E7" s="6">
        <v>11.4</v>
      </c>
      <c r="F7" s="6">
        <v>2.2799999999999998</v>
      </c>
      <c r="G7" s="6">
        <v>59.3</v>
      </c>
      <c r="H7" s="6">
        <v>16</v>
      </c>
    </row>
    <row r="8" spans="1:10" ht="18" customHeight="1" x14ac:dyDescent="0.25">
      <c r="A8" s="13" t="s">
        <v>425</v>
      </c>
      <c r="B8" s="5" t="s">
        <v>426</v>
      </c>
      <c r="D8" s="3">
        <v>0.4</v>
      </c>
      <c r="E8" s="3">
        <v>10.8</v>
      </c>
      <c r="F8" s="3">
        <v>4.32</v>
      </c>
      <c r="G8" s="3">
        <v>56.1</v>
      </c>
      <c r="H8" s="3">
        <v>32</v>
      </c>
    </row>
    <row r="9" spans="1:10" ht="18" customHeight="1" x14ac:dyDescent="0.25">
      <c r="A9" s="14" t="s">
        <v>427</v>
      </c>
      <c r="B9" s="2" t="s">
        <v>428</v>
      </c>
      <c r="D9" s="6">
        <v>0.6</v>
      </c>
      <c r="E9" s="6">
        <v>10.3</v>
      </c>
      <c r="F9" s="6">
        <v>6.18</v>
      </c>
      <c r="G9" s="6">
        <v>53.5</v>
      </c>
      <c r="H9" s="6">
        <v>48</v>
      </c>
    </row>
    <row r="10" spans="1:10" ht="18" customHeight="1" x14ac:dyDescent="0.25">
      <c r="A10" s="13" t="s">
        <v>429</v>
      </c>
      <c r="B10" s="5" t="s">
        <v>430</v>
      </c>
      <c r="D10" s="3">
        <v>0.8</v>
      </c>
      <c r="E10" s="3">
        <v>9.9</v>
      </c>
      <c r="F10" s="3">
        <v>7.92</v>
      </c>
      <c r="G10" s="3">
        <v>51.5</v>
      </c>
      <c r="H10" s="3">
        <v>64</v>
      </c>
    </row>
    <row r="11" spans="1:10" ht="18" customHeight="1" x14ac:dyDescent="0.25">
      <c r="A11" s="14" t="s">
        <v>431</v>
      </c>
      <c r="B11" s="2" t="s">
        <v>432</v>
      </c>
      <c r="D11" s="6">
        <v>1</v>
      </c>
      <c r="E11" s="6">
        <v>9.5500000000000007</v>
      </c>
      <c r="F11" s="6">
        <v>9.5500000000000007</v>
      </c>
      <c r="G11" s="6">
        <v>49.6</v>
      </c>
      <c r="H11" s="6">
        <v>80</v>
      </c>
    </row>
    <row r="12" spans="1:10" ht="18" customHeight="1" x14ac:dyDescent="0.25">
      <c r="A12" s="13" t="s">
        <v>433</v>
      </c>
      <c r="B12" s="5" t="s">
        <v>434</v>
      </c>
      <c r="D12" s="3">
        <v>1.2</v>
      </c>
      <c r="E12" s="3">
        <v>9.1999999999999993</v>
      </c>
      <c r="F12" s="3">
        <v>11.04</v>
      </c>
      <c r="G12" s="3">
        <v>47.8</v>
      </c>
      <c r="H12" s="3">
        <v>96</v>
      </c>
    </row>
    <row r="13" spans="1:10" ht="18" customHeight="1" x14ac:dyDescent="0.25">
      <c r="A13" s="14" t="s">
        <v>435</v>
      </c>
      <c r="B13" s="2" t="s">
        <v>436</v>
      </c>
      <c r="D13" s="6">
        <v>1.4</v>
      </c>
      <c r="E13" s="6">
        <v>8.9</v>
      </c>
      <c r="F13" s="6">
        <v>12.46</v>
      </c>
      <c r="G13" s="6">
        <v>46.3</v>
      </c>
      <c r="H13" s="6">
        <v>112</v>
      </c>
    </row>
    <row r="14" spans="1:10" ht="18" customHeight="1" x14ac:dyDescent="0.25">
      <c r="A14" s="13" t="s">
        <v>437</v>
      </c>
      <c r="B14" s="5" t="s">
        <v>438</v>
      </c>
      <c r="D14" s="3">
        <v>1.6</v>
      </c>
      <c r="E14" s="3">
        <v>8.6</v>
      </c>
      <c r="F14" s="3">
        <v>13.76</v>
      </c>
      <c r="G14" s="3">
        <v>44.7</v>
      </c>
      <c r="H14" s="3">
        <v>128</v>
      </c>
    </row>
    <row r="15" spans="1:10" ht="18" customHeight="1" x14ac:dyDescent="0.25">
      <c r="A15" s="14" t="s">
        <v>439</v>
      </c>
      <c r="B15" s="2" t="s">
        <v>440</v>
      </c>
      <c r="D15" s="6">
        <v>1.8</v>
      </c>
      <c r="E15" s="6">
        <v>8.35</v>
      </c>
      <c r="F15" s="6">
        <v>15.03</v>
      </c>
      <c r="G15" s="6">
        <v>43.4</v>
      </c>
      <c r="H15" s="6">
        <v>144</v>
      </c>
    </row>
    <row r="16" spans="1:10" ht="18" customHeight="1" x14ac:dyDescent="0.25">
      <c r="A16" s="13" t="s">
        <v>441</v>
      </c>
      <c r="B16" s="5" t="s">
        <v>442</v>
      </c>
      <c r="D16" s="3">
        <v>2</v>
      </c>
      <c r="E16" s="3">
        <v>8.1</v>
      </c>
      <c r="F16" s="3">
        <v>16.2</v>
      </c>
      <c r="G16" s="3">
        <v>42.1</v>
      </c>
      <c r="H16" s="3">
        <v>160</v>
      </c>
    </row>
    <row r="17" spans="1:8" ht="18" customHeight="1" x14ac:dyDescent="0.25">
      <c r="A17" s="14" t="s">
        <v>443</v>
      </c>
      <c r="B17" s="2" t="s">
        <v>444</v>
      </c>
      <c r="D17" s="6">
        <v>2.2000000000000002</v>
      </c>
      <c r="E17" s="6">
        <v>7.9</v>
      </c>
      <c r="F17" s="6">
        <v>17.38</v>
      </c>
      <c r="G17" s="6">
        <v>41.1</v>
      </c>
      <c r="H17" s="6">
        <v>176</v>
      </c>
    </row>
    <row r="18" spans="1:8" ht="18" customHeight="1" x14ac:dyDescent="0.25">
      <c r="A18" s="13" t="s">
        <v>445</v>
      </c>
      <c r="B18" s="5" t="s">
        <v>446</v>
      </c>
      <c r="D18" s="3">
        <v>2.4</v>
      </c>
      <c r="E18" s="3">
        <v>7.7</v>
      </c>
      <c r="F18" s="3">
        <v>18.48</v>
      </c>
      <c r="G18" s="3">
        <v>40</v>
      </c>
      <c r="H18" s="3">
        <v>192</v>
      </c>
    </row>
    <row r="19" spans="1:8" ht="18" customHeight="1" x14ac:dyDescent="0.25">
      <c r="A19" s="14" t="s">
        <v>447</v>
      </c>
      <c r="B19" s="2" t="s">
        <v>448</v>
      </c>
      <c r="D19" s="15">
        <v>2.6</v>
      </c>
      <c r="E19" s="15">
        <v>7.5</v>
      </c>
      <c r="F19" s="15">
        <v>19.5</v>
      </c>
      <c r="G19" s="15">
        <v>39</v>
      </c>
      <c r="H19" s="15">
        <v>208</v>
      </c>
    </row>
    <row r="20" spans="1:8" ht="18" customHeight="1" x14ac:dyDescent="0.25">
      <c r="A20" s="13" t="s">
        <v>449</v>
      </c>
      <c r="B20" s="5" t="s">
        <v>450</v>
      </c>
      <c r="D20" s="3">
        <v>2.8</v>
      </c>
      <c r="E20" s="3">
        <v>7.3</v>
      </c>
      <c r="F20" s="3">
        <v>20.440000000000001</v>
      </c>
      <c r="G20" s="3">
        <v>37.9</v>
      </c>
      <c r="H20" s="3">
        <v>224</v>
      </c>
    </row>
    <row r="21" spans="1:8" ht="18" customHeight="1" x14ac:dyDescent="0.25">
      <c r="A21" s="14" t="s">
        <v>451</v>
      </c>
      <c r="B21" s="2" t="s">
        <v>452</v>
      </c>
      <c r="D21" s="6">
        <v>3</v>
      </c>
      <c r="E21" s="6">
        <v>7.1</v>
      </c>
      <c r="F21" s="6">
        <v>21.3</v>
      </c>
      <c r="G21" s="6">
        <v>36.9</v>
      </c>
      <c r="H21" s="6">
        <v>240</v>
      </c>
    </row>
    <row r="22" spans="1:8" ht="18" customHeight="1" x14ac:dyDescent="0.25">
      <c r="A22" s="13" t="s">
        <v>453</v>
      </c>
      <c r="B22" s="5" t="s">
        <v>454</v>
      </c>
      <c r="D22" s="3">
        <v>3.2</v>
      </c>
      <c r="E22" s="3">
        <v>6.95</v>
      </c>
      <c r="F22" s="3">
        <v>22.24</v>
      </c>
      <c r="G22" s="3">
        <v>36.1</v>
      </c>
      <c r="H22" s="3">
        <v>256</v>
      </c>
    </row>
    <row r="23" spans="1:8" ht="18" customHeight="1" x14ac:dyDescent="0.25">
      <c r="D23" s="6">
        <v>3.4</v>
      </c>
      <c r="E23" s="6">
        <v>6.8</v>
      </c>
      <c r="F23" s="6">
        <v>23.12</v>
      </c>
      <c r="G23" s="6">
        <v>35.299999999999997</v>
      </c>
      <c r="H23" s="6">
        <v>272</v>
      </c>
    </row>
    <row r="24" spans="1:8" ht="18" customHeight="1" x14ac:dyDescent="0.25">
      <c r="D24" s="3">
        <v>3.5</v>
      </c>
      <c r="E24" s="3">
        <v>6.75</v>
      </c>
      <c r="F24" s="3">
        <v>23.63</v>
      </c>
      <c r="G24" s="3">
        <v>35.1</v>
      </c>
      <c r="H24" s="3">
        <v>280</v>
      </c>
    </row>
    <row r="26" spans="1:8" ht="27.75" customHeight="1" x14ac:dyDescent="0.25">
      <c r="D26" s="40" t="s">
        <v>455</v>
      </c>
      <c r="E26" s="30"/>
      <c r="F26" s="30"/>
      <c r="G26" s="30"/>
      <c r="H26" s="30"/>
    </row>
  </sheetData>
  <mergeCells count="4">
    <mergeCell ref="A1:J1"/>
    <mergeCell ref="A3:B3"/>
    <mergeCell ref="D3:H3"/>
    <mergeCell ref="D26:H2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65" customWidth="1"/>
  </cols>
  <sheetData>
    <row r="1" spans="1:4" ht="24" customHeight="1" x14ac:dyDescent="0.25">
      <c r="A1" s="38" t="s">
        <v>456</v>
      </c>
      <c r="B1" s="30"/>
      <c r="C1" s="30"/>
      <c r="D1" s="30"/>
    </row>
    <row r="3" spans="1:4" ht="18" customHeight="1" x14ac:dyDescent="0.25">
      <c r="A3" s="41" t="s">
        <v>457</v>
      </c>
      <c r="B3" s="27"/>
    </row>
    <row r="4" spans="1:4" ht="18" customHeight="1" x14ac:dyDescent="0.25">
      <c r="A4" s="14" t="s">
        <v>458</v>
      </c>
      <c r="B4" s="2" t="s">
        <v>459</v>
      </c>
    </row>
    <row r="5" spans="1:4" ht="18" customHeight="1" x14ac:dyDescent="0.25">
      <c r="A5" s="13" t="s">
        <v>460</v>
      </c>
      <c r="B5" s="5" t="s">
        <v>461</v>
      </c>
    </row>
    <row r="6" spans="1:4" ht="18" customHeight="1" x14ac:dyDescent="0.25">
      <c r="A6" s="14" t="s">
        <v>462</v>
      </c>
      <c r="B6" s="2" t="s">
        <v>463</v>
      </c>
    </row>
    <row r="7" spans="1:4" ht="18" customHeight="1" x14ac:dyDescent="0.25">
      <c r="A7" s="13" t="s">
        <v>464</v>
      </c>
      <c r="B7" s="5" t="s">
        <v>465</v>
      </c>
    </row>
    <row r="8" spans="1:4" ht="18" customHeight="1" x14ac:dyDescent="0.25">
      <c r="A8" s="14" t="s">
        <v>466</v>
      </c>
      <c r="B8" s="2" t="s">
        <v>467</v>
      </c>
    </row>
    <row r="9" spans="1:4" ht="18" customHeight="1" x14ac:dyDescent="0.25">
      <c r="A9" s="13" t="s">
        <v>468</v>
      </c>
      <c r="B9" s="5" t="s">
        <v>469</v>
      </c>
    </row>
    <row r="10" spans="1:4" ht="18" customHeight="1" x14ac:dyDescent="0.25">
      <c r="A10" s="14" t="s">
        <v>470</v>
      </c>
      <c r="B10" s="2" t="s">
        <v>471</v>
      </c>
    </row>
    <row r="11" spans="1:4" ht="18" customHeight="1" x14ac:dyDescent="0.25">
      <c r="A11" s="13"/>
      <c r="B11" s="5"/>
    </row>
    <row r="12" spans="1:4" ht="18" customHeight="1" x14ac:dyDescent="0.25">
      <c r="A12" s="41" t="s">
        <v>472</v>
      </c>
      <c r="B12" s="27"/>
    </row>
    <row r="13" spans="1:4" ht="18" customHeight="1" x14ac:dyDescent="0.25">
      <c r="A13" s="13" t="s">
        <v>473</v>
      </c>
      <c r="B13" s="5" t="s">
        <v>474</v>
      </c>
    </row>
    <row r="14" spans="1:4" ht="18" customHeight="1" x14ac:dyDescent="0.25">
      <c r="A14" s="14" t="s">
        <v>475</v>
      </c>
      <c r="B14" s="2" t="s">
        <v>476</v>
      </c>
    </row>
    <row r="15" spans="1:4" ht="18" customHeight="1" x14ac:dyDescent="0.25">
      <c r="A15" s="13" t="s">
        <v>477</v>
      </c>
      <c r="B15" s="5" t="s">
        <v>478</v>
      </c>
    </row>
    <row r="16" spans="1:4" ht="18" customHeight="1" x14ac:dyDescent="0.25">
      <c r="A16" s="14" t="s">
        <v>479</v>
      </c>
      <c r="B16" s="2" t="s">
        <v>480</v>
      </c>
    </row>
    <row r="17" spans="1:2" ht="18" customHeight="1" x14ac:dyDescent="0.25">
      <c r="A17" s="13"/>
      <c r="B17" s="5"/>
    </row>
    <row r="18" spans="1:2" ht="18" customHeight="1" x14ac:dyDescent="0.25">
      <c r="A18" s="41" t="s">
        <v>481</v>
      </c>
      <c r="B18" s="27"/>
    </row>
    <row r="19" spans="1:2" ht="18" customHeight="1" x14ac:dyDescent="0.25">
      <c r="A19" s="13" t="s">
        <v>477</v>
      </c>
      <c r="B19" s="5" t="s">
        <v>482</v>
      </c>
    </row>
    <row r="20" spans="1:2" ht="18" customHeight="1" x14ac:dyDescent="0.25">
      <c r="A20" s="14" t="s">
        <v>483</v>
      </c>
      <c r="B20" s="2" t="s">
        <v>484</v>
      </c>
    </row>
    <row r="21" spans="1:2" ht="18" customHeight="1" x14ac:dyDescent="0.25">
      <c r="A21" s="13" t="s">
        <v>485</v>
      </c>
      <c r="B21" s="5" t="s">
        <v>486</v>
      </c>
    </row>
    <row r="22" spans="1:2" ht="18" customHeight="1" x14ac:dyDescent="0.25">
      <c r="A22" s="14" t="s">
        <v>487</v>
      </c>
      <c r="B22" s="16" t="s">
        <v>488</v>
      </c>
    </row>
    <row r="23" spans="1:2" ht="18" customHeight="1" x14ac:dyDescent="0.25">
      <c r="A23" s="13" t="s">
        <v>489</v>
      </c>
      <c r="B23" s="17" t="s">
        <v>490</v>
      </c>
    </row>
    <row r="24" spans="1:2" ht="18" customHeight="1" x14ac:dyDescent="0.25">
      <c r="A24" s="14"/>
      <c r="B24" s="2"/>
    </row>
    <row r="25" spans="1:2" ht="18" customHeight="1" x14ac:dyDescent="0.25">
      <c r="A25" s="41" t="s">
        <v>491</v>
      </c>
      <c r="B25" s="27"/>
    </row>
    <row r="26" spans="1:2" ht="18" customHeight="1" x14ac:dyDescent="0.25">
      <c r="A26" s="14" t="s">
        <v>492</v>
      </c>
      <c r="B26" s="2" t="s">
        <v>493</v>
      </c>
    </row>
    <row r="27" spans="1:2" ht="18" customHeight="1" x14ac:dyDescent="0.25">
      <c r="A27" s="13" t="s">
        <v>494</v>
      </c>
      <c r="B27" s="5" t="s">
        <v>495</v>
      </c>
    </row>
    <row r="28" spans="1:2" ht="18" customHeight="1" x14ac:dyDescent="0.25">
      <c r="A28" s="14" t="s">
        <v>496</v>
      </c>
      <c r="B28" s="2" t="s">
        <v>497</v>
      </c>
    </row>
    <row r="29" spans="1:2" ht="18" customHeight="1" x14ac:dyDescent="0.25">
      <c r="A29" s="13" t="s">
        <v>498</v>
      </c>
      <c r="B29" s="5" t="s">
        <v>499</v>
      </c>
    </row>
    <row r="30" spans="1:2" ht="18" customHeight="1" x14ac:dyDescent="0.25">
      <c r="A30" s="14" t="s">
        <v>500</v>
      </c>
      <c r="B30" s="2" t="s">
        <v>501</v>
      </c>
    </row>
    <row r="31" spans="1:2" ht="18" customHeight="1" x14ac:dyDescent="0.25">
      <c r="A31" s="13"/>
      <c r="B31" s="5"/>
    </row>
    <row r="32" spans="1:2" ht="18" customHeight="1" x14ac:dyDescent="0.25">
      <c r="A32" s="41" t="s">
        <v>502</v>
      </c>
      <c r="B32" s="27"/>
    </row>
    <row r="33" spans="1:2" ht="18" customHeight="1" x14ac:dyDescent="0.25">
      <c r="A33" s="13" t="s">
        <v>503</v>
      </c>
      <c r="B33" s="17" t="s">
        <v>504</v>
      </c>
    </row>
    <row r="34" spans="1:2" ht="18" customHeight="1" x14ac:dyDescent="0.25">
      <c r="A34" s="14"/>
      <c r="B34" s="16" t="s">
        <v>488</v>
      </c>
    </row>
    <row r="35" spans="1:2" ht="18" customHeight="1" x14ac:dyDescent="0.25">
      <c r="A35" s="13"/>
      <c r="B35" s="5" t="s">
        <v>505</v>
      </c>
    </row>
    <row r="36" spans="1:2" ht="18" customHeight="1" x14ac:dyDescent="0.25">
      <c r="A36" s="14" t="s">
        <v>506</v>
      </c>
      <c r="B36" s="16" t="s">
        <v>507</v>
      </c>
    </row>
  </sheetData>
  <mergeCells count="6">
    <mergeCell ref="A1:D1"/>
    <mergeCell ref="A25:B25"/>
    <mergeCell ref="A32:B32"/>
    <mergeCell ref="A18:B18"/>
    <mergeCell ref="A3:B3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Signal Table</vt:lpstr>
      <vt:lpstr>Packet Format</vt:lpstr>
      <vt:lpstr>Safety &amp; Timeouts</vt:lpstr>
      <vt:lpstr>Fuel Cell Efficiency</vt:lpstr>
      <vt:lpstr>Interface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 Tan</cp:lastModifiedBy>
  <cp:revision>2</cp:revision>
  <dcterms:created xsi:type="dcterms:W3CDTF">2026-03-17T02:14:56Z</dcterms:created>
  <dcterms:modified xsi:type="dcterms:W3CDTF">2026-06-24T00:12:35Z</dcterms:modified>
  <dc:language>en-US</dc:language>
</cp:coreProperties>
</file>