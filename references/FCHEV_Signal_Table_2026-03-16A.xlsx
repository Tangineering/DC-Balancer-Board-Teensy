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al Table" sheetId="1" state="visible" r:id="rId3"/>
    <sheet name="Packet Format" sheetId="2" state="visible" r:id="rId4"/>
    <sheet name="Safety &amp; Timeouts" sheetId="3" state="visible" r:id="rId5"/>
    <sheet name="Fuel Cell Efficiency" sheetId="4" state="visible" r:id="rId6"/>
    <sheet name="Interface Confi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<sst xmlns="http://schemas.openxmlformats.org/spreadsheetml/2006/main" count="743" uniqueCount="450">
  <si>
    <t xml:space="preserve">FCHEV Scaled Test Platform — Signal Definition Table</t>
  </si>
  <si>
    <t xml:space="preserve">Raspberry Pi 5 (EMS)  ↔  Teensy 4.1 (Low-Level Control)  |  UC Davis Future Mobility Lab  |  Rev 2026-03-16A  |  Interface: Ethernet (UDP)  |  FC: H-20 PEM 20W</t>
  </si>
  <si>
    <t xml:space="preserve">Signal Name</t>
  </si>
  <si>
    <t xml:space="preserve">Description</t>
  </si>
  <si>
    <t xml:space="preserve">Direction</t>
  </si>
  <si>
    <t xml:space="preserve">Owner</t>
  </si>
  <si>
    <t xml:space="preserve">Units</t>
  </si>
  <si>
    <t xml:space="preserve">Sample Rate
(Hz)</t>
  </si>
  <si>
    <t xml:space="preserve">Min Value</t>
  </si>
  <si>
    <t xml:space="preserve">Max Value</t>
  </si>
  <si>
    <t xml:space="preserve">Nominal / Typical</t>
  </si>
  <si>
    <t xml:space="preserve">Fallback Value</t>
  </si>
  <si>
    <t xml:space="preserve">Fallback Action</t>
  </si>
  <si>
    <t xml:space="preserve">Interface</t>
  </si>
  <si>
    <t xml:space="preserve">Priority</t>
  </si>
  <si>
    <t xml:space="preserve">Notes</t>
  </si>
  <si>
    <t xml:space="preserve">TEENSY → PI  (Telemetry / Sensor Feedback)</t>
  </si>
  <si>
    <t xml:space="preserve">v_actual</t>
  </si>
  <si>
    <t xml:space="preserve">Actual vehicle / flywheel speed</t>
  </si>
  <si>
    <t xml:space="preserve">Teensy → Pi</t>
  </si>
  <si>
    <t xml:space="preserve">Teensy</t>
  </si>
  <si>
    <t xml:space="preserve">m/s</t>
  </si>
  <si>
    <t xml:space="preserve">3–8</t>
  </si>
  <si>
    <t xml:space="preserve">hold last</t>
  </si>
  <si>
    <t xml:space="preserve">Hold last valid value; flag stale after 100 ms</t>
  </si>
  <si>
    <t xml:space="preserve">Ethernet</t>
  </si>
  <si>
    <t xml:space="preserve">HIGH</t>
  </si>
  <si>
    <t xml:space="preserve">Derived from flywheel encoder RPM via gear ratio</t>
  </si>
  <si>
    <t xml:space="preserve">V_batt</t>
  </si>
  <si>
    <t xml:space="preserve">Battery terminal voltage (2S LiPo)</t>
  </si>
  <si>
    <t xml:space="preserve">V</t>
  </si>
  <si>
    <t xml:space="preserve">7.2–7.6</t>
  </si>
  <si>
    <t xml:space="preserve">Hold; disable charging command if stale &gt;200 ms</t>
  </si>
  <si>
    <t xml:space="preserve">Measured at battery terminals before boost regulator</t>
  </si>
  <si>
    <t xml:space="preserve">I_batt</t>
  </si>
  <si>
    <t xml:space="preserve">Battery discharge current at bus voltage</t>
  </si>
  <si>
    <t xml:space="preserve">A</t>
  </si>
  <si>
    <t xml:space="preserve">1–2</t>
  </si>
  <si>
    <t xml:space="preserve">0</t>
  </si>
  <si>
    <t xml:space="preserve">Set to 0; EMS assumes no battery flow</t>
  </si>
  <si>
    <t xml:space="preserve">From current monitor in battery droop circuit</t>
  </si>
  <si>
    <t xml:space="preserve">I_charge</t>
  </si>
  <si>
    <t xml:space="preserve">Battery charge current at battery voltage</t>
  </si>
  <si>
    <t xml:space="preserve">0–3.4</t>
  </si>
  <si>
    <t xml:space="preserve">Set to 0; EMS assumes no charging</t>
  </si>
  <si>
    <t xml:space="preserve">From charger feedback; separate from I_batt</t>
  </si>
  <si>
    <t xml:space="preserve">V_fc</t>
  </si>
  <si>
    <t xml:space="preserve">Fuel cell stack voltage (H-20)</t>
  </si>
  <si>
    <t xml:space="preserve">7.8–10</t>
  </si>
  <si>
    <t xml:space="preserve">Hold; zero FC power command if stale &gt;200 ms</t>
  </si>
  <si>
    <t xml:space="preserve">Measured at FC terminals. OCV=12.2V, rated=7.8V @ 2.6A</t>
  </si>
  <si>
    <t xml:space="preserve">I_fc</t>
  </si>
  <si>
    <t xml:space="preserve">Fuel cell current at bus voltage</t>
  </si>
  <si>
    <t xml:space="preserve">0.5–1.5</t>
  </si>
  <si>
    <t xml:space="preserve">Set to 0; switch to battery-only mode</t>
  </si>
  <si>
    <t xml:space="preserve">From current monitor in FC droop circuit. Max ~1.73A at bus</t>
  </si>
  <si>
    <t xml:space="preserve">P_fc_actual</t>
  </si>
  <si>
    <t xml:space="preserve">Actual FC power delivered to bus</t>
  </si>
  <si>
    <t xml:space="preserve">W</t>
  </si>
  <si>
    <t xml:space="preserve">5–15</t>
  </si>
  <si>
    <t xml:space="preserve">EMS assumes zero FC contribution</t>
  </si>
  <si>
    <t xml:space="preserve">V_bus x I_fc. H-20 rated 20W, max ~24W short-term</t>
  </si>
  <si>
    <t xml:space="preserve">P_batt_actual</t>
  </si>
  <si>
    <t xml:space="preserve">Actual battery power (+ = discharge)</t>
  </si>
  <si>
    <t xml:space="preserve">10–60</t>
  </si>
  <si>
    <t xml:space="preserve">EMS assumes zero battery flow</t>
  </si>
  <si>
    <t xml:space="preserve">V_bus x I_batt. Neg = charging</t>
  </si>
  <si>
    <t xml:space="preserve">V_bus</t>
  </si>
  <si>
    <t xml:space="preserve">DC bus voltage (boost regulator output)</t>
  </si>
  <si>
    <t xml:space="preserve">17–18</t>
  </si>
  <si>
    <t xml:space="preserve">Hold; flag BUS_VOLTAGE_FAULT if stale</t>
  </si>
  <si>
    <t xml:space="preserve">Target 18V. Monitored to detect droop / collapse</t>
  </si>
  <si>
    <t xml:space="preserve">P_motor_actual</t>
  </si>
  <si>
    <t xml:space="preserve">Actual motor power draw</t>
  </si>
  <si>
    <t xml:space="preserve">5–80</t>
  </si>
  <si>
    <t xml:space="preserve">Log as 0; EMS uses P_demand from drive cycle</t>
  </si>
  <si>
    <t xml:space="preserve">MED</t>
  </si>
  <si>
    <t xml:space="preserve">From VESC feedback or I_bus x V_bus</t>
  </si>
  <si>
    <t xml:space="preserve">motor_cmd_echo</t>
  </si>
  <si>
    <t xml:space="preserve">Motor current command echoed from VESC</t>
  </si>
  <si>
    <t xml:space="preserve">1–20</t>
  </si>
  <si>
    <t xml:space="preserve">Log discrepancy if echo != Pi command</t>
  </si>
  <si>
    <t xml:space="preserve">Exact format TBD depending on VESC telemetry packet</t>
  </si>
  <si>
    <t xml:space="preserve">power_share_echo</t>
  </si>
  <si>
    <t xml:space="preserve">FC power share setpoint echoed back</t>
  </si>
  <si>
    <t xml:space="preserve">—</t>
  </si>
  <si>
    <t xml:space="preserve">0–1</t>
  </si>
  <si>
    <t xml:space="preserve">Flag if differs from Pi command by &gt;10%</t>
  </si>
  <si>
    <t xml:space="preserve">Used to verify Pi→Teensy command was received</t>
  </si>
  <si>
    <t xml:space="preserve">power_share_actual</t>
  </si>
  <si>
    <t xml:space="preserve">Actual FC share of total power delivered</t>
  </si>
  <si>
    <t xml:space="preserve">Log only; no direct fallback action</t>
  </si>
  <si>
    <t xml:space="preserve">I_fc / (I_fc + I_batt), or P_fc_actual / P_motor_actual</t>
  </si>
  <si>
    <t xml:space="preserve">droop_gain_FC_actual</t>
  </si>
  <si>
    <t xml:space="preserve">Droop gain applied by FC MDAC (DAC8552)</t>
  </si>
  <si>
    <t xml:space="preserve">cnts</t>
  </si>
  <si>
    <t xml:space="preserve">500–2000</t>
  </si>
  <si>
    <t xml:space="preserve">Log and flag if differs from Pi command &gt;5%</t>
  </si>
  <si>
    <t xml:space="preserve">Read back from MDAC register. Controls FC V-I droop slope</t>
  </si>
  <si>
    <t xml:space="preserve">droop_gain_BT_actual</t>
  </si>
  <si>
    <t xml:space="preserve">Droop gain applied by battery MDAC (DAC8552)</t>
  </si>
  <si>
    <t xml:space="preserve">Read back from MDAC register. Controls battery V-I droop slope</t>
  </si>
  <si>
    <t xml:space="preserve">charger_status</t>
  </si>
  <si>
    <t xml:space="preserve">Battery charger state</t>
  </si>
  <si>
    <t xml:space="preserve">enum</t>
  </si>
  <si>
    <t xml:space="preserve">0 or 1</t>
  </si>
  <si>
    <t xml:space="preserve">Assume charger OFF; do not send charge_goal</t>
  </si>
  <si>
    <t xml:space="preserve">0=OFF, 1=CC, 2=CV, 3=FAULT</t>
  </si>
  <si>
    <t xml:space="preserve">fault_flags</t>
  </si>
  <si>
    <t xml:space="preserve">Teensy-level fault bitmask</t>
  </si>
  <si>
    <t xml:space="preserve">bits</t>
  </si>
  <si>
    <t xml:space="preserve">last</t>
  </si>
  <si>
    <t xml:space="preserve">Pi reads faults; escalate if any bit set</t>
  </si>
  <si>
    <t xml:space="preserve">Bit0=OC_FC, Bit1=OC_BATT, Bit2=OV_BUS, Bit3=TEMP, Bit4=FC_STALL</t>
  </si>
  <si>
    <t xml:space="preserve">pkt_counter_T</t>
  </si>
  <si>
    <t xml:space="preserve">Packet sequence counter (Teensy side)</t>
  </si>
  <si>
    <t xml:space="preserve">uint</t>
  </si>
  <si>
    <t xml:space="preserve">N/A</t>
  </si>
  <si>
    <t xml:space="preserve">Pi checks for dropped packets</t>
  </si>
  <si>
    <t xml:space="preserve">Wraps at 65535; Pi detects gap &gt; 1 as dropped packet</t>
  </si>
  <si>
    <t xml:space="preserve">PI → TEENSY  (EMS Commands / Supervisory)</t>
  </si>
  <si>
    <t xml:space="preserve">v_setpoint</t>
  </si>
  <si>
    <t xml:space="preserve">Target velocity for low-level driver control</t>
  </si>
  <si>
    <t xml:space="preserve">Pi → Teensy</t>
  </si>
  <si>
    <t xml:space="preserve">Pi</t>
  </si>
  <si>
    <t xml:space="preserve">3–10</t>
  </si>
  <si>
    <t xml:space="preserve">hold 500ms then 0</t>
  </si>
  <si>
    <t xml:space="preserve">Teensy ramps torque to 0 if no fresh cmd in 500 ms</t>
  </si>
  <si>
    <t xml:space="preserve">Set by drive cycle playback on Pi; EMS may modify</t>
  </si>
  <si>
    <t xml:space="preserve">power_share_setpoint</t>
  </si>
  <si>
    <t xml:space="preserve">Target FC share of total power (0=batt, 1=FC)</t>
  </si>
  <si>
    <t xml:space="preserve">0.3–0.7</t>
  </si>
  <si>
    <t xml:space="preserve">0.5</t>
  </si>
  <si>
    <t xml:space="preserve">Teensy uses 50/50 as neutral fallback</t>
  </si>
  <si>
    <t xml:space="preserve">SDP/Fuzzy/SMPC output. Teensy maps to droop gain commands</t>
  </si>
  <si>
    <t xml:space="preserve">charge_goal</t>
  </si>
  <si>
    <t xml:space="preserve">Target battery charge current</t>
  </si>
  <si>
    <t xml:space="preserve">Disable charging; safe default</t>
  </si>
  <si>
    <t xml:space="preserve">0=no charging. Teensy enforces I_chg_max. Max 6.4A (0.8C)</t>
  </si>
  <si>
    <t xml:space="preserve">mode_cmd</t>
  </si>
  <si>
    <t xml:space="preserve">Supervisory operating mode selection</t>
  </si>
  <si>
    <t xml:space="preserve">Hold last mode 500ms then switch to SAFE (4)</t>
  </si>
  <si>
    <t xml:space="preserve">0=HYBRID, 1=FC_ONLY, 2=BATT_ONLY, 3=CHARGE, 4=SAFE</t>
  </si>
  <si>
    <t xml:space="preserve">droop_cmd_enable</t>
  </si>
  <si>
    <t xml:space="preserve">Enable droop injection via MDACs</t>
  </si>
  <si>
    <t xml:space="preserve">bool</t>
  </si>
  <si>
    <t xml:space="preserve">1</t>
  </si>
  <si>
    <t xml:space="preserve">Disable droop; Teensy holds fixed power split</t>
  </si>
  <si>
    <t xml:space="preserve">1=use MDAC droop, 0=bypass. Must be 0 in SAFE mode</t>
  </si>
  <si>
    <t xml:space="preserve">pkt_counter_Pi</t>
  </si>
  <si>
    <t xml:space="preserve">Packet sequence counter (Pi side)</t>
  </si>
  <si>
    <t xml:space="preserve">Teensy checks freshness; triggers watchdog on stall</t>
  </si>
  <si>
    <t xml:space="preserve">Teensy detects Pi timeout if counter stops incrementing</t>
  </si>
  <si>
    <t xml:space="preserve">PI INTERNAL  (Computed / Drive Cycle)</t>
  </si>
  <si>
    <t xml:space="preserve">v_ref</t>
  </si>
  <si>
    <t xml:space="preserve">Reference speed from drive cycle</t>
  </si>
  <si>
    <t xml:space="preserve">Internal</t>
  </si>
  <si>
    <t xml:space="preserve">Stop vehicle; end run</t>
  </si>
  <si>
    <t xml:space="preserve">Software</t>
  </si>
  <si>
    <t xml:space="preserve">Loaded from UDDS/HWFET CSV; replayed at real time</t>
  </si>
  <si>
    <t xml:space="preserve">P_demand</t>
  </si>
  <si>
    <t xml:space="preserve">Power demand estimate from drive cycle</t>
  </si>
  <si>
    <t xml:space="preserve">10–80</t>
  </si>
  <si>
    <t xml:space="preserve">Hold last P_demand; flag if drive cycle lost</t>
  </si>
  <si>
    <t xml:space="preserve">Estimated from v_ref, accel, vehicle mass model. Max ~150W scaled</t>
  </si>
  <si>
    <t xml:space="preserve">SOC_estimate</t>
  </si>
  <si>
    <t xml:space="preserve">EMS internal SOC (pass-through from Teensy)</t>
  </si>
  <si>
    <t xml:space="preserve">0.45–0.65</t>
  </si>
  <si>
    <t xml:space="preserve">freeze</t>
  </si>
  <si>
    <t xml:space="preserve">Freeze; use Teensy V_batt-based SOC as override</t>
  </si>
  <si>
    <t xml:space="preserve">SDP trained on [0.30, 0.80]. Clamp + warn if outside range</t>
  </si>
  <si>
    <t xml:space="preserve">EMS_mode_active</t>
  </si>
  <si>
    <t xml:space="preserve">Which EMS algorithm is currently running</t>
  </si>
  <si>
    <t xml:space="preserve">Fallback to Fuzzy if SDP/SMPC fails</t>
  </si>
  <si>
    <t xml:space="preserve">LOW</t>
  </si>
  <si>
    <t xml:space="preserve">0=FUZZY, 1=SDP, 2=SMPC; logged in data bag</t>
  </si>
  <si>
    <t xml:space="preserve">solver_time_ms</t>
  </si>
  <si>
    <t xml:space="preserve">EMS solver runtime per control step</t>
  </si>
  <si>
    <t xml:space="preserve">ms</t>
  </si>
  <si>
    <t xml:space="preserve">0.1–0.5</t>
  </si>
  <si>
    <t xml:space="preserve">If SMPC &gt;period, use previous solution + flag warning</t>
  </si>
  <si>
    <t xml:space="preserve">SDP: ~0.15ms. Fuzzy: ~0.05ms. SMPC: TBD. Budget=50ms@20Hz</t>
  </si>
  <si>
    <t xml:space="preserve">UDP Packet Definitions — Teensy 4.1  ↔  Raspberry Pi 5  |  Interface: Ethernet (UDP)</t>
  </si>
  <si>
    <t xml:space="preserve">Teensy uses NativeEthernet + EthernetUDP library  |  Pi uses Python socket (UDP)  |  Both on same LAN subnet  |  Teensy IP: 192.168.1.50  |  Pi IP: 192.168.1.100  |  Port: 5000</t>
  </si>
  <si>
    <t xml:space="preserve">PACKET A: Teensy → Pi  (Telemetry)  |  54 bytes @ 50 Hz  ≈  21.6 kbps</t>
  </si>
  <si>
    <t xml:space="preserve">Byte Offset</t>
  </si>
  <si>
    <t xml:space="preserve">Field Name</t>
  </si>
  <si>
    <t xml:space="preserve">C Type</t>
  </si>
  <si>
    <t xml:space="preserve">Size (bytes)</t>
  </si>
  <si>
    <t xml:space="preserve">Scale / Range</t>
  </si>
  <si>
    <t xml:space="preserve">Min Raw</t>
  </si>
  <si>
    <t xml:space="preserve">header</t>
  </si>
  <si>
    <t xml:space="preserve">uint8_t</t>
  </si>
  <si>
    <t xml:space="preserve">0xAA (fixed sync)</t>
  </si>
  <si>
    <t xml:space="preserve">0xAA</t>
  </si>
  <si>
    <t xml:space="preserve">Fixed sync byte</t>
  </si>
  <si>
    <t xml:space="preserve">timestamp_ms</t>
  </si>
  <si>
    <t xml:space="preserve">uint32_t</t>
  </si>
  <si>
    <t xml:space="preserve">0 – 4,294,967,295</t>
  </si>
  <si>
    <t xml:space="preserve">Teensy millis() counter</t>
  </si>
  <si>
    <t xml:space="preserve">pkt_counter</t>
  </si>
  <si>
    <t xml:space="preserve">uint16_t</t>
  </si>
  <si>
    <t xml:space="preserve">0 – 65535 (wraps)</t>
  </si>
  <si>
    <t xml:space="preserve">Pi detects dropped packets on gap &gt; 1</t>
  </si>
  <si>
    <t xml:space="preserve">float</t>
  </si>
  <si>
    <t xml:space="preserve">0 – 15</t>
  </si>
  <si>
    <t xml:space="preserve">Flywheel-derived vehicle speed</t>
  </si>
  <si>
    <t xml:space="preserve">6.0 – 8.4 (2S LiPo)</t>
  </si>
  <si>
    <t xml:space="preserve">6.0</t>
  </si>
  <si>
    <t xml:space="preserve">Battery terminal voltage</t>
  </si>
  <si>
    <t xml:space="preserve">0 – 9.33 (discharge)</t>
  </si>
  <si>
    <t xml:space="preserve">Positive = discharge</t>
  </si>
  <si>
    <t xml:space="preserve">0 – 6.4 (charge)</t>
  </si>
  <si>
    <t xml:space="preserve">Separate from I_batt; from charger feedback</t>
  </si>
  <si>
    <t xml:space="preserve">6.0 – 12.2 (H-20)</t>
  </si>
  <si>
    <t xml:space="preserve">OCV 12.2V; rated 7.8V @ 2.6A</t>
  </si>
  <si>
    <t xml:space="preserve">0 – 1.73 (at bus voltage)</t>
  </si>
  <si>
    <t xml:space="preserve">At bus (18V); FC max ~24W / 18V = 1.33A nominal</t>
  </si>
  <si>
    <t xml:space="preserve">15 – 18 (boosted)</t>
  </si>
  <si>
    <t xml:space="preserve">15</t>
  </si>
  <si>
    <t xml:space="preserve">Target 18V DC bus</t>
  </si>
  <si>
    <t xml:space="preserve">0 – 150</t>
  </si>
  <si>
    <t xml:space="preserve">From VESC telemetry or I_bus x V_bus</t>
  </si>
  <si>
    <t xml:space="preserve">0.0 – 1.0</t>
  </si>
  <si>
    <t xml:space="preserve">Echo of last power_share_setpoint received</t>
  </si>
  <si>
    <t xml:space="preserve">I_fc / (I_fc + I_batt)</t>
  </si>
  <si>
    <t xml:space="preserve">droop_gain_FC</t>
  </si>
  <si>
    <t xml:space="preserve">0 – 4096 (DAC8552)</t>
  </si>
  <si>
    <t xml:space="preserve">Active FC MDAC droop count</t>
  </si>
  <si>
    <t xml:space="preserve">droop_gain_BT</t>
  </si>
  <si>
    <t xml:space="preserve">Active battery MDAC droop count</t>
  </si>
  <si>
    <t xml:space="preserve">0=OFF,1=CC,2=CV,3=FAULT</t>
  </si>
  <si>
    <t xml:space="preserve">Battery charger state machine</t>
  </si>
  <si>
    <t xml:space="preserve">Bit0=OC_FC…Bit4=FC_STALL</t>
  </si>
  <si>
    <t xml:space="preserve">Any bit set → Pi enters SAFE mode</t>
  </si>
  <si>
    <t xml:space="preserve">checksum</t>
  </si>
  <si>
    <t xml:space="preserve">XOR bytes 1–52</t>
  </si>
  <si>
    <t xml:space="preserve">Pi discards packet on mismatch</t>
  </si>
  <si>
    <t xml:space="preserve">TOTAL PACKET SIZE: 54 bytes</t>
  </si>
  <si>
    <t xml:space="preserve">PACKET B: Pi → Teensy  (Commands)   |  22 bytes @ 20 Hz  ≈  3.5 kbps</t>
  </si>
  <si>
    <t xml:space="preserve">0xBB (fixed sync)</t>
  </si>
  <si>
    <t xml:space="preserve">0xBB</t>
  </si>
  <si>
    <t xml:space="preserve">Pi monotonic ms</t>
  </si>
  <si>
    <t xml:space="preserve">Pi time.monotonic() * 1000</t>
  </si>
  <si>
    <t xml:space="preserve">Teensy watchdog resets if counter stalls</t>
  </si>
  <si>
    <t xml:space="preserve">Drive cycle reference speed</t>
  </si>
  <si>
    <t xml:space="preserve">0=battery only, 1=FC only</t>
  </si>
  <si>
    <t xml:space="preserve">0 – 6.4</t>
  </si>
  <si>
    <t xml:space="preserve">0 = no charging</t>
  </si>
  <si>
    <t xml:space="preserve">0=HYB,1=FC,2=BT,3=CHG,4=SAFE</t>
  </si>
  <si>
    <t xml:space="preserve">Operating mode</t>
  </si>
  <si>
    <t xml:space="preserve">0=off, 1=on</t>
  </si>
  <si>
    <t xml:space="preserve">Enable MDAC droop injection</t>
  </si>
  <si>
    <t xml:space="preserve">XOR bytes 1–20</t>
  </si>
  <si>
    <t xml:space="preserve">Teensy discards on mismatch</t>
  </si>
  <si>
    <t xml:space="preserve">TOTAL PACKET SIZE: 22 bytes</t>
  </si>
  <si>
    <t xml:space="preserve">Safety Rules, Timeouts &amp; Fallback Logic  |  Rev 2026-03-16A</t>
  </si>
  <si>
    <t xml:space="preserve">Rule #</t>
  </si>
  <si>
    <t xml:space="preserve">Trigger Condition</t>
  </si>
  <si>
    <t xml:space="preserve">Timeout / Threshold</t>
  </si>
  <si>
    <t xml:space="preserve">Immediate Action</t>
  </si>
  <si>
    <t xml:space="preserve">Recovery Condition</t>
  </si>
  <si>
    <t xml:space="preserve">S-01</t>
  </si>
  <si>
    <t xml:space="preserve">No Pi→Teensy UDP packet received</t>
  </si>
  <si>
    <t xml:space="preserve">&gt; 500 ms</t>
  </si>
  <si>
    <t xml:space="preserve">Ramp v_setpoint → 0 over 1 s; disable charger; mode=SAFE</t>
  </si>
  <si>
    <t xml:space="preserve">Fresh Pi UDP packet received</t>
  </si>
  <si>
    <t xml:space="preserve">Hard real-time watchdog on Teensy; Pi OS is not real-time</t>
  </si>
  <si>
    <t xml:space="preserve">S-02</t>
  </si>
  <si>
    <t xml:space="preserve">No Teensy→Pi UDP telemetry received</t>
  </si>
  <si>
    <t xml:space="preserve">&gt; 200 ms</t>
  </si>
  <si>
    <t xml:space="preserve">Freeze EMS output; log TEENSY_TIMEOUT; do not send new cmds</t>
  </si>
  <si>
    <t xml:space="preserve">Fresh Teensy packet received</t>
  </si>
  <si>
    <t xml:space="preserve">Pi checks pkt_counter for gaps; logs dropped count</t>
  </si>
  <si>
    <t xml:space="preserve">S-03</t>
  </si>
  <si>
    <t xml:space="preserve">SOC &lt; 0.32  (SDP lower guard)</t>
  </si>
  <si>
    <t xml:space="preserve">Any sample</t>
  </si>
  <si>
    <t xml:space="preserve">Force mode=FC_ONLY; power_share=1.0; disable charging</t>
  </si>
  <si>
    <t xml:space="preserve">SOC &gt; 0.35 (hysteresis)</t>
  </si>
  <si>
    <t xml:space="preserve">SDP trained floor is 0.30; guard at 0.32 adds buffer</t>
  </si>
  <si>
    <t xml:space="preserve">S-04</t>
  </si>
  <si>
    <t xml:space="preserve">SOC &gt; 0.78  (SDP upper guard)</t>
  </si>
  <si>
    <t xml:space="preserve">Force mode=BATT_ONLY; power_share=0; charge_goal=0</t>
  </si>
  <si>
    <t xml:space="preserve">SOC &lt; 0.75 (hysteresis)</t>
  </si>
  <si>
    <t xml:space="preserve">SDP trained ceiling is 0.80; guard at 0.78 adds buffer</t>
  </si>
  <si>
    <t xml:space="preserve">S-05</t>
  </si>
  <si>
    <t xml:space="preserve">V_batt &lt; 6.2 V  (2S LiPo low cell)</t>
  </si>
  <si>
    <t xml:space="preserve">Any fast sample</t>
  </si>
  <si>
    <t xml:space="preserve">Disable discharge; flag OC_BATT fault; alert Pi</t>
  </si>
  <si>
    <t xml:space="preserve">V_batt &gt; 6.8 V for 5 s</t>
  </si>
  <si>
    <t xml:space="preserve">2S LiPo cutoff ~6.0V; 6.2V gives margin</t>
  </si>
  <si>
    <t xml:space="preserve">S-06</t>
  </si>
  <si>
    <t xml:space="preserve">V_batt &gt; 8.5 V  (2S LiPo overcharge)</t>
  </si>
  <si>
    <t xml:space="preserve">Open charger contactor; flag fault; alert Pi</t>
  </si>
  <si>
    <t xml:space="preserve">V_batt &lt; 8.3 V</t>
  </si>
  <si>
    <t xml:space="preserve">2S LiPo max 8.4V; 8.5V triggers immediate cutoff</t>
  </si>
  <si>
    <t xml:space="preserve">S-07</t>
  </si>
  <si>
    <t xml:space="preserve">V_bus &lt; 15.5 V or V_bus &gt; 18.5 V</t>
  </si>
  <si>
    <t xml:space="preserve">Disable FC boost; flag BUS_VOLTAGE_FAULT; safe mode</t>
  </si>
  <si>
    <t xml:space="preserve">Bus within 16–18 V for 2 s</t>
  </si>
  <si>
    <t xml:space="preserve">Nominal 18V bus. Collapse or overcharge protection</t>
  </si>
  <si>
    <t xml:space="preserve">S-08</t>
  </si>
  <si>
    <t xml:space="preserve">I_fc &gt; 3.5 A  (H-20 overcurrent)</t>
  </si>
  <si>
    <t xml:space="preserve">Reduce FC droop gain; cap I_fc; flag OC_FC fault</t>
  </si>
  <si>
    <t xml:space="preserve">I_fc &lt; 3.0 A for 5 s</t>
  </si>
  <si>
    <t xml:space="preserve">H-20 absolute max ~3.5A. Protect PEM membrane. Priority 1</t>
  </si>
  <si>
    <t xml:space="preserve">S-09</t>
  </si>
  <si>
    <t xml:space="preserve">FC stack temp &gt; 55°C</t>
  </si>
  <si>
    <t xml:space="preserve">Ramp down FC power; flag FC_TEMP fault; switch to BATT</t>
  </si>
  <si>
    <t xml:space="preserve">Temp &lt; 45°C for 30 s</t>
  </si>
  <si>
    <t xml:space="preserve">H-20 max stack temp 55°C. Requires temp sensor on FC</t>
  </si>
  <si>
    <t xml:space="preserve">S-10</t>
  </si>
  <si>
    <t xml:space="preserve">I_batt &gt; 9.5 A  (battery overcurrent)</t>
  </si>
  <si>
    <t xml:space="preserve">Open battery contactor; flag OC_BATT; manual reset required</t>
  </si>
  <si>
    <t xml:space="preserve">Manual reset only</t>
  </si>
  <si>
    <t xml:space="preserve">LiPo protection. No auto-recovery from battery overcurrent</t>
  </si>
  <si>
    <t xml:space="preserve">S-11</t>
  </si>
  <si>
    <t xml:space="preserve">Teensy fault_flags != 0x00</t>
  </si>
  <si>
    <t xml:space="preserve">Log fault code; switch EMS → SAFE; send charge_goal=0</t>
  </si>
  <si>
    <t xml:space="preserve">Teensy clears fault; reports 0x00</t>
  </si>
  <si>
    <t xml:space="preserve">Pi does NOT attempt to clear Teensy faults</t>
  </si>
  <si>
    <t xml:space="preserve">S-12</t>
  </si>
  <si>
    <t xml:space="preserve">SMPC solver time &gt; control period (50ms)</t>
  </si>
  <si>
    <t xml:space="preserve">&gt; 50 ms</t>
  </si>
  <si>
    <t xml:space="preserve">Use previous feasible u_opt; flag SMPC_TIMEOUT; count misses</t>
  </si>
  <si>
    <t xml:space="preserve">Solver within budget for 5 cycles</t>
  </si>
  <si>
    <t xml:space="preserve">10 consecutive misses → switch to SDP or Fuzzy fallback</t>
  </si>
  <si>
    <t xml:space="preserve">S-13</t>
  </si>
  <si>
    <t xml:space="preserve">Pi CPU temperature &gt; 80°C</t>
  </si>
  <si>
    <t xml:space="preserve">Log warning; &gt;85°C → switch SMPC to Fuzzy or SDP</t>
  </si>
  <si>
    <t xml:space="preserve">CPU temp &lt; 75°C for 30 s</t>
  </si>
  <si>
    <t xml:space="preserve">Pi 5 throttles at 85°C. SDP only 0.15ms — safe at any temp</t>
  </si>
  <si>
    <t xml:space="preserve">S-14</t>
  </si>
  <si>
    <t xml:space="preserve">Drive cycle file ends or read error</t>
  </si>
  <si>
    <t xml:space="preserve">Immediate</t>
  </si>
  <si>
    <t xml:space="preserve">Set v_setpoint=0; log DC_EOF fault; graceful shutdown</t>
  </si>
  <si>
    <t xml:space="preserve">Manual restart</t>
  </si>
  <si>
    <t xml:space="preserve">End-of-test or file corruption handler</t>
  </si>
  <si>
    <t xml:space="preserve">S-15</t>
  </si>
  <si>
    <t xml:space="preserve">UDP checksum mismatch</t>
  </si>
  <si>
    <t xml:space="preserve">Both</t>
  </si>
  <si>
    <t xml:space="preserve">Per packet</t>
  </si>
  <si>
    <t xml:space="preserve">Discard packet; use fallback values; log CRC_ERROR</t>
  </si>
  <si>
    <t xml:space="preserve">3 consecutive bad → raise COMMS_FAULT</t>
  </si>
  <si>
    <t xml:space="preserve">XOR checksum over all payload bytes</t>
  </si>
  <si>
    <t xml:space="preserve">S-16</t>
  </si>
  <si>
    <t xml:space="preserve">Ethernet link down (no UDP packets at all)</t>
  </si>
  <si>
    <t xml:space="preserve">&gt; 1000 ms</t>
  </si>
  <si>
    <t xml:space="preserve">Teensy: safe mode. Pi: log ETH_LINK_DOWN fault</t>
  </si>
  <si>
    <t xml:space="preserve">Link restored + fresh packets for 2 s</t>
  </si>
  <si>
    <t xml:space="preserve">Check W5500 SPI connection on Teensy if this fires</t>
  </si>
  <si>
    <t xml:space="preserve">H-20 PEM Fuel Cell — Polarization &amp; Power Curves  |  Source: Horizon H-20 Datasheet</t>
  </si>
  <si>
    <t xml:space="preserve">Specifications</t>
  </si>
  <si>
    <t xml:space="preserve">V-I / P-I Curve Data  (digitized from H-20 datasheet)</t>
  </si>
  <si>
    <t xml:space="preserve">Type</t>
  </si>
  <si>
    <t xml:space="preserve">PEM (Proton Exchange Membrane)</t>
  </si>
  <si>
    <t xml:space="preserve">Current I (A)</t>
  </si>
  <si>
    <t xml:space="preserve">Voltage V (V)</t>
  </si>
  <si>
    <t xml:space="preserve">Power P (W)</t>
  </si>
  <si>
    <t xml:space="preserve">Efficiency η (%)</t>
  </si>
  <si>
    <t xml:space="preserve">H2 consumption
(mL/min)</t>
  </si>
  <si>
    <t xml:space="preserve">Number of cells</t>
  </si>
  <si>
    <t xml:space="preserve">13</t>
  </si>
  <si>
    <t xml:space="preserve">Rated power</t>
  </si>
  <si>
    <t xml:space="preserve">20 W</t>
  </si>
  <si>
    <t xml:space="preserve">Rated performance</t>
  </si>
  <si>
    <t xml:space="preserve">7.8 V at 2.6 A</t>
  </si>
  <si>
    <t xml:space="preserve">Open circuit voltage (OCV)</t>
  </si>
  <si>
    <t xml:space="preserve">~12.2 V</t>
  </si>
  <si>
    <t xml:space="preserve">Max current (datasheet)</t>
  </si>
  <si>
    <t xml:space="preserve">~3.5 A</t>
  </si>
  <si>
    <t xml:space="preserve">Max power (observed)</t>
  </si>
  <si>
    <t xml:space="preserve">~24 W at 3.5 A</t>
  </si>
  <si>
    <t xml:space="preserve">Efficiency at full power</t>
  </si>
  <si>
    <t xml:space="preserve">40%</t>
  </si>
  <si>
    <t xml:space="preserve">Purging valve voltage</t>
  </si>
  <si>
    <t xml:space="preserve">6 V</t>
  </si>
  <si>
    <t xml:space="preserve">Blower voltage</t>
  </si>
  <si>
    <t xml:space="preserve">5 V</t>
  </si>
  <si>
    <t xml:space="preserve">Hydrogen pressure</t>
  </si>
  <si>
    <t xml:space="preserve">0.45 – 0.55 Bar</t>
  </si>
  <si>
    <t xml:space="preserve">H2 purity</t>
  </si>
  <si>
    <t xml:space="preserve">≥ 99.995% dry H2</t>
  </si>
  <si>
    <t xml:space="preserve">Flow rate at max output</t>
  </si>
  <si>
    <t xml:space="preserve">0.28 L/min</t>
  </si>
  <si>
    <t xml:space="preserve">Max stack temperature</t>
  </si>
  <si>
    <t xml:space="preserve">55°C</t>
  </si>
  <si>
    <t xml:space="preserve">Startup time</t>
  </si>
  <si>
    <t xml:space="preserve">≤ 30 s (ambient temp)</t>
  </si>
  <si>
    <t xml:space="preserve">Stack size</t>
  </si>
  <si>
    <t xml:space="preserve">75 x 47 x 70 mm</t>
  </si>
  <si>
    <t xml:space="preserve">Stack weight</t>
  </si>
  <si>
    <t xml:space="preserve">275 g (±30 g)</t>
  </si>
  <si>
    <t xml:space="preserve">Cooling</t>
  </si>
  <si>
    <t xml:space="preserve">Air (integrated fan)</t>
  </si>
  <si>
    <t xml:space="preserve">Humidification</t>
  </si>
  <si>
    <t xml:space="preserve">Self-humidified</t>
  </si>
  <si>
    <t xml:space="preserve">★ Highlighted row = rated operating point (2.6 A).  Efficiency η = P_elec / (I × V_thermo), V_thermo = 1.48 V/cell × 13 cells = 19.24 V.  H2 consumption linearly scaled from 0.28 L/min at max output.</t>
  </si>
  <si>
    <t xml:space="preserve">Interface Configuration  |  Ethernet UDP  |  Teensy 4.1 + W5500 ↔ Raspberry Pi 5</t>
  </si>
  <si>
    <t xml:space="preserve">NETWORK</t>
  </si>
  <si>
    <t xml:space="preserve">Topology</t>
  </si>
  <si>
    <t xml:space="preserve">Point-to-point Ethernet (direct cable or via switch)</t>
  </si>
  <si>
    <t xml:space="preserve">Protocol</t>
  </si>
  <si>
    <t xml:space="preserve">UDP (User Datagram Protocol) — low latency, no ACK overhead</t>
  </si>
  <si>
    <t xml:space="preserve">Pi IP address</t>
  </si>
  <si>
    <t xml:space="preserve">192.168.1.100</t>
  </si>
  <si>
    <t xml:space="preserve">Teensy IP address</t>
  </si>
  <si>
    <t xml:space="preserve">192.168.1.50</t>
  </si>
  <si>
    <t xml:space="preserve">Subnet mask</t>
  </si>
  <si>
    <t xml:space="preserve">255.255.255.0</t>
  </si>
  <si>
    <t xml:space="preserve">Telemetry port (T→Pi)</t>
  </si>
  <si>
    <t xml:space="preserve">5000  (Teensy sends, Pi listens)</t>
  </si>
  <si>
    <t xml:space="preserve">Command port (Pi→T)</t>
  </si>
  <si>
    <t xml:space="preserve">5001  (Pi sends, Teensy listens)</t>
  </si>
  <si>
    <t xml:space="preserve">TEENSY HARDWARE</t>
  </si>
  <si>
    <t xml:space="preserve">Ethernet module</t>
  </si>
  <si>
    <t xml:space="preserve">W5500 SPI Ethernet module (e.g. Wiznet WIZ850io)</t>
  </si>
  <si>
    <t xml:space="preserve">SPI pins (Teensy 4.1)</t>
  </si>
  <si>
    <t xml:space="preserve">MOSI=11, MISO=12, SCK=13, CS=10 (or custom)</t>
  </si>
  <si>
    <t xml:space="preserve">Library</t>
  </si>
  <si>
    <t xml:space="preserve">NativeEthernet + EthernetUDP (Teensy-specific)</t>
  </si>
  <si>
    <t xml:space="preserve">Tx rate (telemetry)</t>
  </si>
  <si>
    <t xml:space="preserve">50 Hz — 54-byte packet = ~21.6 kbps</t>
  </si>
  <si>
    <t xml:space="preserve">RASPBERRY PI SOFTWARE</t>
  </si>
  <si>
    <t xml:space="preserve">Python socket module (stdlib — no install needed)</t>
  </si>
  <si>
    <t xml:space="preserve">Rx thread</t>
  </si>
  <si>
    <t xml:space="preserve">Separate daemon thread reads UDP at 50 Hz</t>
  </si>
  <si>
    <t xml:space="preserve">Tx rate (commands)</t>
  </si>
  <si>
    <t xml:space="preserve">20 Hz — 22-byte packet = ~3.5 kbps</t>
  </si>
  <si>
    <t xml:space="preserve">Socket bind</t>
  </si>
  <si>
    <t xml:space="preserve">sock.bind(('0.0.0.0', 5000))</t>
  </si>
  <si>
    <t xml:space="preserve">Non-blocking mode</t>
  </si>
  <si>
    <t xml:space="preserve">sock.setblocking(False) — poll in main loop</t>
  </si>
  <si>
    <t xml:space="preserve">WATCHDOG / SAFETY</t>
  </si>
  <si>
    <t xml:space="preserve">Pi → Teensy watchdog</t>
  </si>
  <si>
    <t xml:space="preserve">Teensy triggers safe mode if no UDP cmd for &gt; 500 ms</t>
  </si>
  <si>
    <t xml:space="preserve">Teensy → Pi watchdog</t>
  </si>
  <si>
    <t xml:space="preserve">Pi freezes EMS if no UDP telemetry for &gt; 200 ms</t>
  </si>
  <si>
    <t xml:space="preserve">Packet validation</t>
  </si>
  <si>
    <t xml:space="preserve">XOR checksum on all payload bytes; discard on mismatch</t>
  </si>
  <si>
    <t xml:space="preserve">Sequence counter</t>
  </si>
  <si>
    <t xml:space="preserve">Both sides maintain uint16 counter; log drops</t>
  </si>
  <si>
    <t xml:space="preserve">Link-down detection</t>
  </si>
  <si>
    <t xml:space="preserve">If no packets for &gt; 1000 ms → ETH_LINK_DOWN fault</t>
  </si>
  <si>
    <t xml:space="preserve">PYTHON SOCKET SKELETON</t>
  </si>
  <si>
    <t xml:space="preserve">Pi receive example</t>
  </si>
  <si>
    <t xml:space="preserve">sock = socket.socket(socket.AF_INET, socket.SOCK_DGRAM)</t>
  </si>
  <si>
    <t xml:space="preserve">data, addr = sock.recvfrom(64)  # non-blocking with timeout</t>
  </si>
  <si>
    <t xml:space="preserve">Pi send example</t>
  </si>
  <si>
    <t xml:space="preserve">sock.sendto(pkt_bytes, ('192.168.1.50', 5001))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</si>
</sst>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ACD"/>
      </patternFill>
    </fill>
    <fill>
      <patternFill patternType="solid">
        <fgColor rgb="FFD9D9D9"/>
        <bgColor rgb="FFBDD7EE"/>
      </patternFill>
    </fill>
    <fill>
      <patternFill patternType="solid">
        <fgColor rgb="FF375623"/>
        <bgColor rgb="FF444444"/>
      </patternFill>
    </fill>
    <fill>
      <patternFill patternType="solid">
        <fgColor rgb="FFFCE4D6"/>
        <bgColor rgb="FFFFF2CC"/>
      </patternFill>
    </fill>
    <fill>
      <patternFill patternType="solid">
        <fgColor rgb="FFFFFACD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ACD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H-20 Polarization Curve (V-I)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"V-I"</c:f>
              <c:strCache>
                <c:ptCount val="1"/>
                <c:pt idx="0">
                  <c:v>V-I</c:v>
                </c:pt>
              </c:strCache>
            </c:strRef>
          </c:tx>
          <c:spPr>
            <a:solidFill>
              <a:srgbClr val="1f3864"/>
            </a:solidFill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'Fuel Cell Efficiency'!$D$5:$D$24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3.5</c:v>
                </c:pt>
              </c:numCache>
            </c:numRef>
          </c:xVal>
          <c:yVal>
            <c:numRef>
              <c:f>'Fuel Cell Efficiency'!$E$5:$E$24</c:f>
              <c:numCache>
                <c:formatCode>General</c:formatCode>
                <c:ptCount val="20"/>
                <c:pt idx="0">
                  <c:v>12.2</c:v>
                </c:pt>
                <c:pt idx="1">
                  <c:v>11.8</c:v>
                </c:pt>
                <c:pt idx="2">
                  <c:v>11.4</c:v>
                </c:pt>
                <c:pt idx="3">
                  <c:v>10.8</c:v>
                </c:pt>
                <c:pt idx="4">
                  <c:v>10.3</c:v>
                </c:pt>
                <c:pt idx="5">
                  <c:v>9.9</c:v>
                </c:pt>
                <c:pt idx="6">
                  <c:v>9.55</c:v>
                </c:pt>
                <c:pt idx="7">
                  <c:v>9.2</c:v>
                </c:pt>
                <c:pt idx="8">
                  <c:v>8.9</c:v>
                </c:pt>
                <c:pt idx="9">
                  <c:v>8.6</c:v>
                </c:pt>
                <c:pt idx="10">
                  <c:v>8.35</c:v>
                </c:pt>
                <c:pt idx="11">
                  <c:v>8.1</c:v>
                </c:pt>
                <c:pt idx="12">
                  <c:v>7.9</c:v>
                </c:pt>
                <c:pt idx="13">
                  <c:v>7.7</c:v>
                </c:pt>
                <c:pt idx="14">
                  <c:v>7.5</c:v>
                </c:pt>
                <c:pt idx="15">
                  <c:v>7.3</c:v>
                </c:pt>
                <c:pt idx="16">
                  <c:v>7.1</c:v>
                </c:pt>
                <c:pt idx="17">
                  <c:v>6.95</c:v>
                </c:pt>
                <c:pt idx="18">
                  <c:v>6.8</c:v>
                </c:pt>
                <c:pt idx="19">
                  <c:v>6.75</c:v>
                </c:pt>
              </c:numCache>
            </c:numRef>
          </c:yVal>
          <c:smooth val="1"/>
        </c:ser>
        <c:axId val="40951317"/>
        <c:axId val="25733222"/>
      </c:scatterChart>
      <c:valAx>
        <c:axId val="40951317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33222"/>
        <c:crosses val="autoZero"/>
        <c:crossBetween val="midCat"/>
      </c:valAx>
      <c:valAx>
        <c:axId val="25733222"/>
        <c:scaling>
          <c:orientation val="minMax"/>
          <c:max val="13"/>
          <c:min val="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513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H-20 Power Curve (P-I)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"P-I"</c:f>
              <c:strCache>
                <c:ptCount val="1"/>
                <c:pt idx="0">
                  <c:v>P-I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'Fuel Cell Efficiency'!$D$5:$D$24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3.5</c:v>
                </c:pt>
              </c:numCache>
            </c:numRef>
          </c:xVal>
          <c:yVal>
            <c:numRef>
              <c:f>'Fuel Cell Efficiency'!$F$5:$F$24</c:f>
              <c:numCache>
                <c:formatCode>General</c:formatCode>
                <c:ptCount val="20"/>
                <c:pt idx="0">
                  <c:v>0</c:v>
                </c:pt>
                <c:pt idx="1">
                  <c:v>1.18</c:v>
                </c:pt>
                <c:pt idx="2">
                  <c:v>2.28</c:v>
                </c:pt>
                <c:pt idx="3">
                  <c:v>4.32</c:v>
                </c:pt>
                <c:pt idx="4">
                  <c:v>6.18</c:v>
                </c:pt>
                <c:pt idx="5">
                  <c:v>7.92</c:v>
                </c:pt>
                <c:pt idx="6">
                  <c:v>9.55</c:v>
                </c:pt>
                <c:pt idx="7">
                  <c:v>11.04</c:v>
                </c:pt>
                <c:pt idx="8">
                  <c:v>12.46</c:v>
                </c:pt>
                <c:pt idx="9">
                  <c:v>13.76</c:v>
                </c:pt>
                <c:pt idx="10">
                  <c:v>15.03</c:v>
                </c:pt>
                <c:pt idx="11">
                  <c:v>16.2</c:v>
                </c:pt>
                <c:pt idx="12">
                  <c:v>17.38</c:v>
                </c:pt>
                <c:pt idx="13">
                  <c:v>18.48</c:v>
                </c:pt>
                <c:pt idx="14">
                  <c:v>19.5</c:v>
                </c:pt>
                <c:pt idx="15">
                  <c:v>20.44</c:v>
                </c:pt>
                <c:pt idx="16">
                  <c:v>21.3</c:v>
                </c:pt>
                <c:pt idx="17">
                  <c:v>22.24</c:v>
                </c:pt>
                <c:pt idx="18">
                  <c:v>23.12</c:v>
                </c:pt>
                <c:pt idx="19">
                  <c:v>23.63</c:v>
                </c:pt>
              </c:numCache>
            </c:numRef>
          </c:yVal>
          <c:smooth val="1"/>
        </c:ser>
        <c:axId val="65828605"/>
        <c:axId val="93400041"/>
      </c:scatterChart>
      <c:valAx>
        <c:axId val="65828605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00041"/>
        <c:crosses val="autoZero"/>
        <c:crossBetween val="midCat"/>
      </c:valAx>
      <c:valAx>
        <c:axId val="93400041"/>
        <c:scaling>
          <c:orientation val="minMax"/>
          <c:max val="2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86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25</xdr:row>
      <xdr:rowOff>0</xdr:rowOff>
    </xdr:from>
    <xdr:to>
      <xdr:col>7</xdr:col>
      <xdr:colOff>528120</xdr:colOff>
      <xdr:row>43</xdr:row>
      <xdr:rowOff>8280</xdr:rowOff>
    </xdr:to>
    <xdr:graphicFrame>
      <xdr:nvGraphicFramePr>
        <xdr:cNvPr id="0" name="Chart 1"/>
        <xdr:cNvGraphicFramePr/>
      </xdr:nvGraphicFramePr>
      <xdr:xfrm>
        <a:off x="4840560" y="590544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41</xdr:row>
      <xdr:rowOff>0</xdr:rowOff>
    </xdr:from>
    <xdr:to>
      <xdr:col>7</xdr:col>
      <xdr:colOff>528120</xdr:colOff>
      <xdr:row>59</xdr:row>
      <xdr:rowOff>170280</xdr:rowOff>
    </xdr:to>
    <xdr:graphicFrame>
      <xdr:nvGraphicFramePr>
        <xdr:cNvPr id="1" name="Chart 2"/>
        <xdr:cNvGraphicFramePr/>
      </xdr:nvGraphicFramePr>
      <xdr:xfrm>
        <a:off x="4840560" y="911556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8" min="4" style="1" width="10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28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3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8" hidden="false" customHeight="true" outlineLevel="0" collapsed="false">
      <c r="A4" s="5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30" hidden="false" customHeight="true" outlineLevel="0" collapsed="false">
      <c r="A5" s="6" t="s">
        <v>17</v>
      </c>
      <c r="B5" s="6" t="s">
        <v>18</v>
      </c>
      <c r="C5" s="7" t="s">
        <v>19</v>
      </c>
      <c r="D5" s="7" t="s">
        <v>20</v>
      </c>
      <c r="E5" s="7" t="s">
        <v>21</v>
      </c>
      <c r="F5" s="7" t="n">
        <v>50</v>
      </c>
      <c r="G5" s="7" t="n">
        <v>0</v>
      </c>
      <c r="H5" s="7" t="n">
        <v>15</v>
      </c>
      <c r="I5" s="7" t="s">
        <v>22</v>
      </c>
      <c r="J5" s="7" t="s">
        <v>23</v>
      </c>
      <c r="K5" s="6" t="s">
        <v>24</v>
      </c>
      <c r="L5" s="7" t="s">
        <v>25</v>
      </c>
      <c r="M5" s="8" t="s">
        <v>26</v>
      </c>
      <c r="N5" s="6" t="s">
        <v>27</v>
      </c>
    </row>
    <row r="6" customFormat="false" ht="30" hidden="false" customHeight="true" outlineLevel="0" collapsed="false">
      <c r="A6" s="9" t="s">
        <v>28</v>
      </c>
      <c r="B6" s="9" t="s">
        <v>29</v>
      </c>
      <c r="C6" s="10" t="s">
        <v>19</v>
      </c>
      <c r="D6" s="10" t="s">
        <v>20</v>
      </c>
      <c r="E6" s="10" t="s">
        <v>30</v>
      </c>
      <c r="F6" s="10" t="n">
        <v>50</v>
      </c>
      <c r="G6" s="10" t="n">
        <v>6</v>
      </c>
      <c r="H6" s="10" t="n">
        <v>8.4</v>
      </c>
      <c r="I6" s="10" t="s">
        <v>31</v>
      </c>
      <c r="J6" s="10" t="s">
        <v>23</v>
      </c>
      <c r="K6" s="9" t="s">
        <v>32</v>
      </c>
      <c r="L6" s="10" t="s">
        <v>25</v>
      </c>
      <c r="M6" s="11" t="s">
        <v>26</v>
      </c>
      <c r="N6" s="9" t="s">
        <v>33</v>
      </c>
    </row>
    <row r="7" customFormat="false" ht="30" hidden="false" customHeight="true" outlineLevel="0" collapsed="false">
      <c r="A7" s="6" t="s">
        <v>34</v>
      </c>
      <c r="B7" s="6" t="s">
        <v>35</v>
      </c>
      <c r="C7" s="7" t="s">
        <v>19</v>
      </c>
      <c r="D7" s="7" t="s">
        <v>20</v>
      </c>
      <c r="E7" s="7" t="s">
        <v>36</v>
      </c>
      <c r="F7" s="7" t="n">
        <v>50</v>
      </c>
      <c r="G7" s="7" t="n">
        <v>0</v>
      </c>
      <c r="H7" s="7" t="n">
        <v>9.33</v>
      </c>
      <c r="I7" s="7" t="s">
        <v>37</v>
      </c>
      <c r="J7" s="7" t="s">
        <v>38</v>
      </c>
      <c r="K7" s="6" t="s">
        <v>39</v>
      </c>
      <c r="L7" s="7" t="s">
        <v>25</v>
      </c>
      <c r="M7" s="8" t="s">
        <v>26</v>
      </c>
      <c r="N7" s="6" t="s">
        <v>40</v>
      </c>
    </row>
    <row r="8" customFormat="false" ht="30" hidden="false" customHeight="true" outlineLevel="0" collapsed="false">
      <c r="A8" s="9" t="s">
        <v>41</v>
      </c>
      <c r="B8" s="9" t="s">
        <v>42</v>
      </c>
      <c r="C8" s="10" t="s">
        <v>19</v>
      </c>
      <c r="D8" s="10" t="s">
        <v>20</v>
      </c>
      <c r="E8" s="10" t="s">
        <v>36</v>
      </c>
      <c r="F8" s="10" t="n">
        <v>50</v>
      </c>
      <c r="G8" s="10" t="n">
        <v>0</v>
      </c>
      <c r="H8" s="10" t="n">
        <v>6.4</v>
      </c>
      <c r="I8" s="10" t="s">
        <v>43</v>
      </c>
      <c r="J8" s="10" t="s">
        <v>38</v>
      </c>
      <c r="K8" s="9" t="s">
        <v>44</v>
      </c>
      <c r="L8" s="10" t="s">
        <v>25</v>
      </c>
      <c r="M8" s="11" t="s">
        <v>26</v>
      </c>
      <c r="N8" s="9" t="s">
        <v>45</v>
      </c>
    </row>
    <row r="9" customFormat="false" ht="30" hidden="false" customHeight="true" outlineLevel="0" collapsed="false">
      <c r="A9" s="6" t="s">
        <v>46</v>
      </c>
      <c r="B9" s="6" t="s">
        <v>47</v>
      </c>
      <c r="C9" s="7" t="s">
        <v>19</v>
      </c>
      <c r="D9" s="7" t="s">
        <v>20</v>
      </c>
      <c r="E9" s="7" t="s">
        <v>30</v>
      </c>
      <c r="F9" s="7" t="n">
        <v>50</v>
      </c>
      <c r="G9" s="7" t="n">
        <v>6</v>
      </c>
      <c r="H9" s="7" t="n">
        <v>12.2</v>
      </c>
      <c r="I9" s="7" t="s">
        <v>48</v>
      </c>
      <c r="J9" s="7" t="s">
        <v>23</v>
      </c>
      <c r="K9" s="6" t="s">
        <v>49</v>
      </c>
      <c r="L9" s="7" t="s">
        <v>25</v>
      </c>
      <c r="M9" s="8" t="s">
        <v>26</v>
      </c>
      <c r="N9" s="6" t="s">
        <v>50</v>
      </c>
    </row>
    <row r="10" customFormat="false" ht="30" hidden="false" customHeight="true" outlineLevel="0" collapsed="false">
      <c r="A10" s="9" t="s">
        <v>51</v>
      </c>
      <c r="B10" s="9" t="s">
        <v>52</v>
      </c>
      <c r="C10" s="10" t="s">
        <v>19</v>
      </c>
      <c r="D10" s="10" t="s">
        <v>20</v>
      </c>
      <c r="E10" s="10" t="s">
        <v>36</v>
      </c>
      <c r="F10" s="10" t="n">
        <v>50</v>
      </c>
      <c r="G10" s="10" t="n">
        <v>0</v>
      </c>
      <c r="H10" s="10" t="n">
        <v>1.73</v>
      </c>
      <c r="I10" s="10" t="s">
        <v>53</v>
      </c>
      <c r="J10" s="10" t="s">
        <v>38</v>
      </c>
      <c r="K10" s="9" t="s">
        <v>54</v>
      </c>
      <c r="L10" s="10" t="s">
        <v>25</v>
      </c>
      <c r="M10" s="11" t="s">
        <v>26</v>
      </c>
      <c r="N10" s="9" t="s">
        <v>55</v>
      </c>
    </row>
    <row r="11" customFormat="false" ht="30" hidden="false" customHeight="true" outlineLevel="0" collapsed="false">
      <c r="A11" s="6" t="s">
        <v>56</v>
      </c>
      <c r="B11" s="6" t="s">
        <v>57</v>
      </c>
      <c r="C11" s="7" t="s">
        <v>19</v>
      </c>
      <c r="D11" s="7" t="s">
        <v>20</v>
      </c>
      <c r="E11" s="7" t="s">
        <v>58</v>
      </c>
      <c r="F11" s="7" t="n">
        <v>50</v>
      </c>
      <c r="G11" s="7" t="n">
        <v>0</v>
      </c>
      <c r="H11" s="7" t="n">
        <v>20</v>
      </c>
      <c r="I11" s="7" t="s">
        <v>59</v>
      </c>
      <c r="J11" s="7" t="s">
        <v>38</v>
      </c>
      <c r="K11" s="6" t="s">
        <v>60</v>
      </c>
      <c r="L11" s="7" t="s">
        <v>25</v>
      </c>
      <c r="M11" s="8" t="s">
        <v>26</v>
      </c>
      <c r="N11" s="6" t="s">
        <v>61</v>
      </c>
    </row>
    <row r="12" customFormat="false" ht="30" hidden="false" customHeight="true" outlineLevel="0" collapsed="false">
      <c r="A12" s="9" t="s">
        <v>62</v>
      </c>
      <c r="B12" s="9" t="s">
        <v>63</v>
      </c>
      <c r="C12" s="10" t="s">
        <v>19</v>
      </c>
      <c r="D12" s="10" t="s">
        <v>20</v>
      </c>
      <c r="E12" s="10" t="s">
        <v>58</v>
      </c>
      <c r="F12" s="10" t="n">
        <v>50</v>
      </c>
      <c r="G12" s="10" t="n">
        <v>-54</v>
      </c>
      <c r="H12" s="10" t="n">
        <v>125</v>
      </c>
      <c r="I12" s="10" t="s">
        <v>64</v>
      </c>
      <c r="J12" s="10" t="s">
        <v>38</v>
      </c>
      <c r="K12" s="9" t="s">
        <v>65</v>
      </c>
      <c r="L12" s="10" t="s">
        <v>25</v>
      </c>
      <c r="M12" s="11" t="s">
        <v>26</v>
      </c>
      <c r="N12" s="9" t="s">
        <v>66</v>
      </c>
    </row>
    <row r="13" customFormat="false" ht="30" hidden="false" customHeight="true" outlineLevel="0" collapsed="false">
      <c r="A13" s="6" t="s">
        <v>67</v>
      </c>
      <c r="B13" s="6" t="s">
        <v>68</v>
      </c>
      <c r="C13" s="7" t="s">
        <v>19</v>
      </c>
      <c r="D13" s="7" t="s">
        <v>20</v>
      </c>
      <c r="E13" s="7" t="s">
        <v>30</v>
      </c>
      <c r="F13" s="7" t="n">
        <v>50</v>
      </c>
      <c r="G13" s="7" t="n">
        <v>15</v>
      </c>
      <c r="H13" s="7" t="n">
        <v>18</v>
      </c>
      <c r="I13" s="7" t="s">
        <v>69</v>
      </c>
      <c r="J13" s="7" t="s">
        <v>23</v>
      </c>
      <c r="K13" s="6" t="s">
        <v>70</v>
      </c>
      <c r="L13" s="7" t="s">
        <v>25</v>
      </c>
      <c r="M13" s="8" t="s">
        <v>26</v>
      </c>
      <c r="N13" s="6" t="s">
        <v>71</v>
      </c>
    </row>
    <row r="14" customFormat="false" ht="30" hidden="false" customHeight="true" outlineLevel="0" collapsed="false">
      <c r="A14" s="9" t="s">
        <v>72</v>
      </c>
      <c r="B14" s="9" t="s">
        <v>73</v>
      </c>
      <c r="C14" s="10" t="s">
        <v>19</v>
      </c>
      <c r="D14" s="10" t="s">
        <v>20</v>
      </c>
      <c r="E14" s="10" t="s">
        <v>58</v>
      </c>
      <c r="F14" s="10" t="n">
        <v>50</v>
      </c>
      <c r="G14" s="10" t="n">
        <v>0</v>
      </c>
      <c r="H14" s="10" t="n">
        <v>150</v>
      </c>
      <c r="I14" s="10" t="s">
        <v>74</v>
      </c>
      <c r="J14" s="10" t="s">
        <v>38</v>
      </c>
      <c r="K14" s="9" t="s">
        <v>75</v>
      </c>
      <c r="L14" s="10" t="s">
        <v>25</v>
      </c>
      <c r="M14" s="12" t="s">
        <v>76</v>
      </c>
      <c r="N14" s="9" t="s">
        <v>77</v>
      </c>
    </row>
    <row r="15" customFormat="false" ht="30" hidden="false" customHeight="true" outlineLevel="0" collapsed="false">
      <c r="A15" s="6" t="s">
        <v>78</v>
      </c>
      <c r="B15" s="6" t="s">
        <v>79</v>
      </c>
      <c r="C15" s="7" t="s">
        <v>19</v>
      </c>
      <c r="D15" s="7" t="s">
        <v>20</v>
      </c>
      <c r="E15" s="7" t="s">
        <v>36</v>
      </c>
      <c r="F15" s="7" t="n">
        <v>20</v>
      </c>
      <c r="G15" s="7" t="n">
        <v>0</v>
      </c>
      <c r="H15" s="7" t="n">
        <v>50</v>
      </c>
      <c r="I15" s="7" t="s">
        <v>80</v>
      </c>
      <c r="J15" s="7" t="s">
        <v>38</v>
      </c>
      <c r="K15" s="6" t="s">
        <v>81</v>
      </c>
      <c r="L15" s="7" t="s">
        <v>25</v>
      </c>
      <c r="M15" s="13" t="s">
        <v>76</v>
      </c>
      <c r="N15" s="6" t="s">
        <v>82</v>
      </c>
    </row>
    <row r="16" customFormat="false" ht="30" hidden="false" customHeight="true" outlineLevel="0" collapsed="false">
      <c r="A16" s="9" t="s">
        <v>83</v>
      </c>
      <c r="B16" s="9" t="s">
        <v>84</v>
      </c>
      <c r="C16" s="10" t="s">
        <v>19</v>
      </c>
      <c r="D16" s="10" t="s">
        <v>20</v>
      </c>
      <c r="E16" s="10" t="s">
        <v>85</v>
      </c>
      <c r="F16" s="10" t="n">
        <v>20</v>
      </c>
      <c r="G16" s="10" t="n">
        <v>0</v>
      </c>
      <c r="H16" s="10" t="n">
        <v>1</v>
      </c>
      <c r="I16" s="10" t="s">
        <v>86</v>
      </c>
      <c r="J16" s="10" t="s">
        <v>23</v>
      </c>
      <c r="K16" s="9" t="s">
        <v>87</v>
      </c>
      <c r="L16" s="10" t="s">
        <v>25</v>
      </c>
      <c r="M16" s="12" t="s">
        <v>76</v>
      </c>
      <c r="N16" s="9" t="s">
        <v>88</v>
      </c>
    </row>
    <row r="17" customFormat="false" ht="30" hidden="false" customHeight="true" outlineLevel="0" collapsed="false">
      <c r="A17" s="6" t="s">
        <v>89</v>
      </c>
      <c r="B17" s="6" t="s">
        <v>90</v>
      </c>
      <c r="C17" s="7" t="s">
        <v>19</v>
      </c>
      <c r="D17" s="7" t="s">
        <v>20</v>
      </c>
      <c r="E17" s="7" t="s">
        <v>85</v>
      </c>
      <c r="F17" s="7" t="n">
        <v>50</v>
      </c>
      <c r="G17" s="7" t="n">
        <v>0</v>
      </c>
      <c r="H17" s="7" t="n">
        <v>1</v>
      </c>
      <c r="I17" s="7" t="s">
        <v>86</v>
      </c>
      <c r="J17" s="7" t="s">
        <v>23</v>
      </c>
      <c r="K17" s="6" t="s">
        <v>91</v>
      </c>
      <c r="L17" s="7" t="s">
        <v>25</v>
      </c>
      <c r="M17" s="13" t="s">
        <v>76</v>
      </c>
      <c r="N17" s="6" t="s">
        <v>92</v>
      </c>
    </row>
    <row r="18" customFormat="false" ht="30" hidden="false" customHeight="true" outlineLevel="0" collapsed="false">
      <c r="A18" s="9" t="s">
        <v>93</v>
      </c>
      <c r="B18" s="9" t="s">
        <v>94</v>
      </c>
      <c r="C18" s="10" t="s">
        <v>19</v>
      </c>
      <c r="D18" s="10" t="s">
        <v>20</v>
      </c>
      <c r="E18" s="10" t="s">
        <v>95</v>
      </c>
      <c r="F18" s="10" t="n">
        <v>20</v>
      </c>
      <c r="G18" s="10" t="n">
        <v>0</v>
      </c>
      <c r="H18" s="10" t="n">
        <v>4096</v>
      </c>
      <c r="I18" s="10" t="s">
        <v>96</v>
      </c>
      <c r="J18" s="10" t="s">
        <v>23</v>
      </c>
      <c r="K18" s="9" t="s">
        <v>97</v>
      </c>
      <c r="L18" s="10" t="s">
        <v>25</v>
      </c>
      <c r="M18" s="12" t="s">
        <v>76</v>
      </c>
      <c r="N18" s="9" t="s">
        <v>98</v>
      </c>
    </row>
    <row r="19" customFormat="false" ht="30" hidden="false" customHeight="true" outlineLevel="0" collapsed="false">
      <c r="A19" s="6" t="s">
        <v>99</v>
      </c>
      <c r="B19" s="6" t="s">
        <v>100</v>
      </c>
      <c r="C19" s="7" t="s">
        <v>19</v>
      </c>
      <c r="D19" s="7" t="s">
        <v>20</v>
      </c>
      <c r="E19" s="7" t="s">
        <v>95</v>
      </c>
      <c r="F19" s="7" t="n">
        <v>20</v>
      </c>
      <c r="G19" s="7" t="n">
        <v>0</v>
      </c>
      <c r="H19" s="7" t="n">
        <v>4096</v>
      </c>
      <c r="I19" s="7" t="s">
        <v>96</v>
      </c>
      <c r="J19" s="7" t="s">
        <v>23</v>
      </c>
      <c r="K19" s="6" t="s">
        <v>97</v>
      </c>
      <c r="L19" s="7" t="s">
        <v>25</v>
      </c>
      <c r="M19" s="13" t="s">
        <v>76</v>
      </c>
      <c r="N19" s="6" t="s">
        <v>101</v>
      </c>
    </row>
    <row r="20" customFormat="false" ht="30" hidden="false" customHeight="true" outlineLevel="0" collapsed="false">
      <c r="A20" s="9" t="s">
        <v>102</v>
      </c>
      <c r="B20" s="9" t="s">
        <v>103</v>
      </c>
      <c r="C20" s="10" t="s">
        <v>19</v>
      </c>
      <c r="D20" s="10" t="s">
        <v>20</v>
      </c>
      <c r="E20" s="10" t="s">
        <v>104</v>
      </c>
      <c r="F20" s="10" t="n">
        <v>10</v>
      </c>
      <c r="G20" s="10" t="n">
        <v>0</v>
      </c>
      <c r="H20" s="10" t="n">
        <v>3</v>
      </c>
      <c r="I20" s="10" t="s">
        <v>105</v>
      </c>
      <c r="J20" s="10" t="s">
        <v>38</v>
      </c>
      <c r="K20" s="9" t="s">
        <v>106</v>
      </c>
      <c r="L20" s="10" t="s">
        <v>25</v>
      </c>
      <c r="M20" s="12" t="s">
        <v>76</v>
      </c>
      <c r="N20" s="9" t="s">
        <v>107</v>
      </c>
    </row>
    <row r="21" customFormat="false" ht="30" hidden="false" customHeight="true" outlineLevel="0" collapsed="false">
      <c r="A21" s="6" t="s">
        <v>108</v>
      </c>
      <c r="B21" s="6" t="s">
        <v>109</v>
      </c>
      <c r="C21" s="7" t="s">
        <v>19</v>
      </c>
      <c r="D21" s="7" t="s">
        <v>20</v>
      </c>
      <c r="E21" s="7" t="s">
        <v>110</v>
      </c>
      <c r="F21" s="7" t="n">
        <v>20</v>
      </c>
      <c r="G21" s="7" t="n">
        <v>0</v>
      </c>
      <c r="H21" s="7" t="n">
        <v>255</v>
      </c>
      <c r="I21" s="7" t="s">
        <v>38</v>
      </c>
      <c r="J21" s="7" t="s">
        <v>111</v>
      </c>
      <c r="K21" s="6" t="s">
        <v>112</v>
      </c>
      <c r="L21" s="7" t="s">
        <v>25</v>
      </c>
      <c r="M21" s="8" t="s">
        <v>26</v>
      </c>
      <c r="N21" s="6" t="s">
        <v>113</v>
      </c>
    </row>
    <row r="22" customFormat="false" ht="30" hidden="false" customHeight="true" outlineLevel="0" collapsed="false">
      <c r="A22" s="9" t="s">
        <v>114</v>
      </c>
      <c r="B22" s="9" t="s">
        <v>115</v>
      </c>
      <c r="C22" s="10" t="s">
        <v>19</v>
      </c>
      <c r="D22" s="10" t="s">
        <v>20</v>
      </c>
      <c r="E22" s="10" t="s">
        <v>116</v>
      </c>
      <c r="F22" s="10" t="n">
        <v>50</v>
      </c>
      <c r="G22" s="10" t="n">
        <v>0</v>
      </c>
      <c r="H22" s="10" t="n">
        <v>65535</v>
      </c>
      <c r="I22" s="10" t="s">
        <v>85</v>
      </c>
      <c r="J22" s="10" t="s">
        <v>117</v>
      </c>
      <c r="K22" s="9" t="s">
        <v>118</v>
      </c>
      <c r="L22" s="10" t="s">
        <v>25</v>
      </c>
      <c r="M22" s="12" t="s">
        <v>76</v>
      </c>
      <c r="N22" s="9" t="s">
        <v>119</v>
      </c>
    </row>
    <row r="23" customFormat="false" ht="18" hidden="false" customHeight="true" outlineLevel="0" collapsed="false">
      <c r="A23" s="14" t="s">
        <v>120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30" hidden="false" customHeight="true" outlineLevel="0" collapsed="false">
      <c r="A24" s="6" t="s">
        <v>121</v>
      </c>
      <c r="B24" s="6" t="s">
        <v>122</v>
      </c>
      <c r="C24" s="7" t="s">
        <v>123</v>
      </c>
      <c r="D24" s="7" t="s">
        <v>124</v>
      </c>
      <c r="E24" s="7" t="s">
        <v>21</v>
      </c>
      <c r="F24" s="7" t="n">
        <v>20</v>
      </c>
      <c r="G24" s="7" t="n">
        <v>0</v>
      </c>
      <c r="H24" s="7" t="n">
        <v>15</v>
      </c>
      <c r="I24" s="7" t="s">
        <v>125</v>
      </c>
      <c r="J24" s="7" t="s">
        <v>126</v>
      </c>
      <c r="K24" s="6" t="s">
        <v>127</v>
      </c>
      <c r="L24" s="7" t="s">
        <v>25</v>
      </c>
      <c r="M24" s="8" t="s">
        <v>26</v>
      </c>
      <c r="N24" s="6" t="s">
        <v>128</v>
      </c>
    </row>
    <row r="25" customFormat="false" ht="30" hidden="false" customHeight="true" outlineLevel="0" collapsed="false">
      <c r="A25" s="9" t="s">
        <v>129</v>
      </c>
      <c r="B25" s="9" t="s">
        <v>130</v>
      </c>
      <c r="C25" s="10" t="s">
        <v>123</v>
      </c>
      <c r="D25" s="10" t="s">
        <v>124</v>
      </c>
      <c r="E25" s="10" t="s">
        <v>85</v>
      </c>
      <c r="F25" s="10" t="n">
        <v>20</v>
      </c>
      <c r="G25" s="10" t="n">
        <v>0</v>
      </c>
      <c r="H25" s="10" t="n">
        <v>1</v>
      </c>
      <c r="I25" s="10" t="s">
        <v>131</v>
      </c>
      <c r="J25" s="10" t="s">
        <v>132</v>
      </c>
      <c r="K25" s="9" t="s">
        <v>133</v>
      </c>
      <c r="L25" s="10" t="s">
        <v>25</v>
      </c>
      <c r="M25" s="11" t="s">
        <v>26</v>
      </c>
      <c r="N25" s="9" t="s">
        <v>134</v>
      </c>
    </row>
    <row r="26" customFormat="false" ht="30" hidden="false" customHeight="true" outlineLevel="0" collapsed="false">
      <c r="A26" s="6" t="s">
        <v>135</v>
      </c>
      <c r="B26" s="6" t="s">
        <v>136</v>
      </c>
      <c r="C26" s="7" t="s">
        <v>123</v>
      </c>
      <c r="D26" s="7" t="s">
        <v>124</v>
      </c>
      <c r="E26" s="7" t="s">
        <v>36</v>
      </c>
      <c r="F26" s="7" t="n">
        <v>10</v>
      </c>
      <c r="G26" s="7" t="n">
        <v>0</v>
      </c>
      <c r="H26" s="7" t="n">
        <v>6.4</v>
      </c>
      <c r="I26" s="7" t="s">
        <v>43</v>
      </c>
      <c r="J26" s="7" t="s">
        <v>38</v>
      </c>
      <c r="K26" s="6" t="s">
        <v>137</v>
      </c>
      <c r="L26" s="7" t="s">
        <v>25</v>
      </c>
      <c r="M26" s="13" t="s">
        <v>76</v>
      </c>
      <c r="N26" s="6" t="s">
        <v>138</v>
      </c>
    </row>
    <row r="27" customFormat="false" ht="30" hidden="false" customHeight="true" outlineLevel="0" collapsed="false">
      <c r="A27" s="9" t="s">
        <v>139</v>
      </c>
      <c r="B27" s="9" t="s">
        <v>140</v>
      </c>
      <c r="C27" s="10" t="s">
        <v>123</v>
      </c>
      <c r="D27" s="10" t="s">
        <v>124</v>
      </c>
      <c r="E27" s="10" t="s">
        <v>104</v>
      </c>
      <c r="F27" s="10" t="n">
        <v>10</v>
      </c>
      <c r="G27" s="10" t="n">
        <v>0</v>
      </c>
      <c r="H27" s="10" t="n">
        <v>4</v>
      </c>
      <c r="I27" s="10" t="s">
        <v>38</v>
      </c>
      <c r="J27" s="10" t="s">
        <v>38</v>
      </c>
      <c r="K27" s="9" t="s">
        <v>141</v>
      </c>
      <c r="L27" s="10" t="s">
        <v>25</v>
      </c>
      <c r="M27" s="11" t="s">
        <v>26</v>
      </c>
      <c r="N27" s="9" t="s">
        <v>142</v>
      </c>
    </row>
    <row r="28" customFormat="false" ht="30" hidden="false" customHeight="true" outlineLevel="0" collapsed="false">
      <c r="A28" s="6" t="s">
        <v>143</v>
      </c>
      <c r="B28" s="6" t="s">
        <v>144</v>
      </c>
      <c r="C28" s="7" t="s">
        <v>123</v>
      </c>
      <c r="D28" s="7" t="s">
        <v>124</v>
      </c>
      <c r="E28" s="7" t="s">
        <v>145</v>
      </c>
      <c r="F28" s="7" t="n">
        <v>10</v>
      </c>
      <c r="G28" s="7" t="n">
        <v>0</v>
      </c>
      <c r="H28" s="7" t="n">
        <v>1</v>
      </c>
      <c r="I28" s="7" t="s">
        <v>146</v>
      </c>
      <c r="J28" s="7" t="s">
        <v>38</v>
      </c>
      <c r="K28" s="6" t="s">
        <v>147</v>
      </c>
      <c r="L28" s="7" t="s">
        <v>25</v>
      </c>
      <c r="M28" s="13" t="s">
        <v>76</v>
      </c>
      <c r="N28" s="6" t="s">
        <v>148</v>
      </c>
    </row>
    <row r="29" customFormat="false" ht="30" hidden="false" customHeight="true" outlineLevel="0" collapsed="false">
      <c r="A29" s="9" t="s">
        <v>149</v>
      </c>
      <c r="B29" s="9" t="s">
        <v>150</v>
      </c>
      <c r="C29" s="10" t="s">
        <v>123</v>
      </c>
      <c r="D29" s="10" t="s">
        <v>124</v>
      </c>
      <c r="E29" s="10" t="s">
        <v>116</v>
      </c>
      <c r="F29" s="10" t="n">
        <v>20</v>
      </c>
      <c r="G29" s="10" t="n">
        <v>0</v>
      </c>
      <c r="H29" s="10" t="n">
        <v>65535</v>
      </c>
      <c r="I29" s="10" t="s">
        <v>85</v>
      </c>
      <c r="J29" s="10" t="s">
        <v>117</v>
      </c>
      <c r="K29" s="9" t="s">
        <v>151</v>
      </c>
      <c r="L29" s="10" t="s">
        <v>25</v>
      </c>
      <c r="M29" s="12" t="s">
        <v>76</v>
      </c>
      <c r="N29" s="9" t="s">
        <v>152</v>
      </c>
    </row>
    <row r="30" customFormat="false" ht="18" hidden="false" customHeight="true" outlineLevel="0" collapsed="false">
      <c r="A30" s="15" t="s">
        <v>153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customFormat="false" ht="30" hidden="false" customHeight="true" outlineLevel="0" collapsed="false">
      <c r="A31" s="6" t="s">
        <v>154</v>
      </c>
      <c r="B31" s="6" t="s">
        <v>155</v>
      </c>
      <c r="C31" s="7" t="s">
        <v>156</v>
      </c>
      <c r="D31" s="7" t="s">
        <v>124</v>
      </c>
      <c r="E31" s="7" t="s">
        <v>21</v>
      </c>
      <c r="F31" s="7" t="n">
        <v>20</v>
      </c>
      <c r="G31" s="7" t="n">
        <v>0</v>
      </c>
      <c r="H31" s="7" t="n">
        <v>15</v>
      </c>
      <c r="I31" s="7" t="s">
        <v>125</v>
      </c>
      <c r="J31" s="7" t="s">
        <v>38</v>
      </c>
      <c r="K31" s="6" t="s">
        <v>157</v>
      </c>
      <c r="L31" s="7" t="s">
        <v>158</v>
      </c>
      <c r="M31" s="8" t="s">
        <v>26</v>
      </c>
      <c r="N31" s="6" t="s">
        <v>159</v>
      </c>
    </row>
    <row r="32" customFormat="false" ht="30" hidden="false" customHeight="true" outlineLevel="0" collapsed="false">
      <c r="A32" s="9" t="s">
        <v>160</v>
      </c>
      <c r="B32" s="9" t="s">
        <v>161</v>
      </c>
      <c r="C32" s="10" t="s">
        <v>156</v>
      </c>
      <c r="D32" s="10" t="s">
        <v>124</v>
      </c>
      <c r="E32" s="10" t="s">
        <v>58</v>
      </c>
      <c r="F32" s="10" t="n">
        <v>20</v>
      </c>
      <c r="G32" s="10" t="n">
        <v>0</v>
      </c>
      <c r="H32" s="10" t="n">
        <v>150</v>
      </c>
      <c r="I32" s="10" t="s">
        <v>162</v>
      </c>
      <c r="J32" s="10" t="s">
        <v>111</v>
      </c>
      <c r="K32" s="9" t="s">
        <v>163</v>
      </c>
      <c r="L32" s="10" t="s">
        <v>158</v>
      </c>
      <c r="M32" s="11" t="s">
        <v>26</v>
      </c>
      <c r="N32" s="9" t="s">
        <v>164</v>
      </c>
    </row>
    <row r="33" customFormat="false" ht="30" hidden="false" customHeight="true" outlineLevel="0" collapsed="false">
      <c r="A33" s="6" t="s">
        <v>165</v>
      </c>
      <c r="B33" s="6" t="s">
        <v>166</v>
      </c>
      <c r="C33" s="7" t="s">
        <v>156</v>
      </c>
      <c r="D33" s="7" t="s">
        <v>124</v>
      </c>
      <c r="E33" s="7" t="s">
        <v>86</v>
      </c>
      <c r="F33" s="7" t="n">
        <v>20</v>
      </c>
      <c r="G33" s="7" t="n">
        <v>0.3</v>
      </c>
      <c r="H33" s="7" t="n">
        <v>0.8</v>
      </c>
      <c r="I33" s="7" t="s">
        <v>167</v>
      </c>
      <c r="J33" s="7" t="s">
        <v>168</v>
      </c>
      <c r="K33" s="6" t="s">
        <v>169</v>
      </c>
      <c r="L33" s="7" t="s">
        <v>158</v>
      </c>
      <c r="M33" s="13" t="s">
        <v>76</v>
      </c>
      <c r="N33" s="6" t="s">
        <v>170</v>
      </c>
    </row>
    <row r="34" customFormat="false" ht="30" hidden="false" customHeight="true" outlineLevel="0" collapsed="false">
      <c r="A34" s="9" t="s">
        <v>171</v>
      </c>
      <c r="B34" s="9" t="s">
        <v>172</v>
      </c>
      <c r="C34" s="10" t="s">
        <v>156</v>
      </c>
      <c r="D34" s="10" t="s">
        <v>124</v>
      </c>
      <c r="E34" s="10" t="s">
        <v>104</v>
      </c>
      <c r="F34" s="10" t="n">
        <v>1</v>
      </c>
      <c r="G34" s="10" t="n">
        <v>0</v>
      </c>
      <c r="H34" s="10" t="n">
        <v>2</v>
      </c>
      <c r="I34" s="10" t="s">
        <v>146</v>
      </c>
      <c r="J34" s="10" t="s">
        <v>38</v>
      </c>
      <c r="K34" s="9" t="s">
        <v>173</v>
      </c>
      <c r="L34" s="10" t="s">
        <v>158</v>
      </c>
      <c r="M34" s="16" t="s">
        <v>174</v>
      </c>
      <c r="N34" s="9" t="s">
        <v>175</v>
      </c>
    </row>
    <row r="35" customFormat="false" ht="30" hidden="false" customHeight="true" outlineLevel="0" collapsed="false">
      <c r="A35" s="6" t="s">
        <v>176</v>
      </c>
      <c r="B35" s="6" t="s">
        <v>177</v>
      </c>
      <c r="C35" s="7" t="s">
        <v>156</v>
      </c>
      <c r="D35" s="7" t="s">
        <v>124</v>
      </c>
      <c r="E35" s="7" t="s">
        <v>178</v>
      </c>
      <c r="F35" s="7" t="n">
        <v>20</v>
      </c>
      <c r="G35" s="7" t="n">
        <v>0</v>
      </c>
      <c r="H35" s="7" t="n">
        <v>50</v>
      </c>
      <c r="I35" s="7" t="s">
        <v>179</v>
      </c>
      <c r="J35" s="7" t="s">
        <v>117</v>
      </c>
      <c r="K35" s="6" t="s">
        <v>180</v>
      </c>
      <c r="L35" s="7" t="s">
        <v>158</v>
      </c>
      <c r="M35" s="13" t="s">
        <v>76</v>
      </c>
      <c r="N35" s="6" t="s">
        <v>181</v>
      </c>
    </row>
  </sheetData>
  <mergeCells count="5">
    <mergeCell ref="A1:N1"/>
    <mergeCell ref="A2:N2"/>
    <mergeCell ref="A4:N4"/>
    <mergeCell ref="A23:N23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40"/>
  </cols>
  <sheetData>
    <row r="1" customFormat="false" ht="24" hidden="false" customHeight="true" outlineLevel="0" collapsed="false">
      <c r="A1" s="17" t="s">
        <v>182</v>
      </c>
      <c r="B1" s="17"/>
      <c r="C1" s="17"/>
      <c r="D1" s="17"/>
      <c r="E1" s="17"/>
      <c r="F1" s="17"/>
      <c r="G1" s="17"/>
      <c r="H1" s="17"/>
    </row>
    <row r="2" customFormat="false" ht="15.75" hidden="false" customHeight="true" outlineLevel="0" collapsed="false">
      <c r="A2" s="3" t="s">
        <v>183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18" t="s">
        <v>184</v>
      </c>
      <c r="B3" s="18"/>
      <c r="C3" s="18"/>
      <c r="D3" s="18"/>
      <c r="E3" s="18"/>
      <c r="F3" s="18"/>
      <c r="G3" s="18"/>
      <c r="H3" s="18"/>
    </row>
    <row r="4" customFormat="false" ht="19.5" hidden="false" customHeight="true" outlineLevel="0" collapsed="false">
      <c r="A4" s="4" t="s">
        <v>185</v>
      </c>
      <c r="B4" s="4" t="s">
        <v>186</v>
      </c>
      <c r="C4" s="4" t="s">
        <v>187</v>
      </c>
      <c r="D4" s="4" t="s">
        <v>188</v>
      </c>
      <c r="E4" s="4" t="s">
        <v>6</v>
      </c>
      <c r="F4" s="4" t="s">
        <v>189</v>
      </c>
      <c r="G4" s="4" t="s">
        <v>190</v>
      </c>
      <c r="H4" s="4" t="s">
        <v>15</v>
      </c>
    </row>
    <row r="5" customFormat="false" ht="19.5" hidden="false" customHeight="true" outlineLevel="0" collapsed="false">
      <c r="A5" s="7" t="n">
        <v>0</v>
      </c>
      <c r="B5" s="7" t="s">
        <v>191</v>
      </c>
      <c r="C5" s="7" t="s">
        <v>192</v>
      </c>
      <c r="D5" s="7" t="n">
        <v>1</v>
      </c>
      <c r="E5" s="7" t="s">
        <v>85</v>
      </c>
      <c r="F5" s="7" t="s">
        <v>193</v>
      </c>
      <c r="G5" s="7" t="s">
        <v>194</v>
      </c>
      <c r="H5" s="6" t="s">
        <v>195</v>
      </c>
    </row>
    <row r="6" customFormat="false" ht="19.5" hidden="false" customHeight="true" outlineLevel="0" collapsed="false">
      <c r="A6" s="10" t="n">
        <v>1</v>
      </c>
      <c r="B6" s="10" t="s">
        <v>196</v>
      </c>
      <c r="C6" s="10" t="s">
        <v>197</v>
      </c>
      <c r="D6" s="10" t="n">
        <v>4</v>
      </c>
      <c r="E6" s="10" t="s">
        <v>178</v>
      </c>
      <c r="F6" s="10" t="s">
        <v>198</v>
      </c>
      <c r="G6" s="10" t="s">
        <v>38</v>
      </c>
      <c r="H6" s="9" t="s">
        <v>199</v>
      </c>
    </row>
    <row r="7" customFormat="false" ht="19.5" hidden="false" customHeight="true" outlineLevel="0" collapsed="false">
      <c r="A7" s="7" t="n">
        <v>5</v>
      </c>
      <c r="B7" s="7" t="s">
        <v>200</v>
      </c>
      <c r="C7" s="7" t="s">
        <v>201</v>
      </c>
      <c r="D7" s="7" t="n">
        <v>2</v>
      </c>
      <c r="E7" s="7" t="s">
        <v>85</v>
      </c>
      <c r="F7" s="7" t="s">
        <v>202</v>
      </c>
      <c r="G7" s="7" t="s">
        <v>38</v>
      </c>
      <c r="H7" s="6" t="s">
        <v>203</v>
      </c>
    </row>
    <row r="8" customFormat="false" ht="19.5" hidden="false" customHeight="true" outlineLevel="0" collapsed="false">
      <c r="A8" s="10" t="n">
        <v>7</v>
      </c>
      <c r="B8" s="10" t="s">
        <v>17</v>
      </c>
      <c r="C8" s="10" t="s">
        <v>204</v>
      </c>
      <c r="D8" s="10" t="n">
        <v>4</v>
      </c>
      <c r="E8" s="10" t="s">
        <v>21</v>
      </c>
      <c r="F8" s="10" t="s">
        <v>205</v>
      </c>
      <c r="G8" s="10" t="s">
        <v>38</v>
      </c>
      <c r="H8" s="9" t="s">
        <v>206</v>
      </c>
    </row>
    <row r="9" customFormat="false" ht="19.5" hidden="false" customHeight="true" outlineLevel="0" collapsed="false">
      <c r="A9" s="7" t="n">
        <v>11</v>
      </c>
      <c r="B9" s="7" t="s">
        <v>28</v>
      </c>
      <c r="C9" s="7" t="s">
        <v>204</v>
      </c>
      <c r="D9" s="7" t="n">
        <v>4</v>
      </c>
      <c r="E9" s="7" t="s">
        <v>30</v>
      </c>
      <c r="F9" s="7" t="s">
        <v>207</v>
      </c>
      <c r="G9" s="7" t="s">
        <v>208</v>
      </c>
      <c r="H9" s="6" t="s">
        <v>209</v>
      </c>
    </row>
    <row r="10" customFormat="false" ht="19.5" hidden="false" customHeight="true" outlineLevel="0" collapsed="false">
      <c r="A10" s="10" t="n">
        <v>15</v>
      </c>
      <c r="B10" s="10" t="s">
        <v>34</v>
      </c>
      <c r="C10" s="10" t="s">
        <v>204</v>
      </c>
      <c r="D10" s="10" t="n">
        <v>4</v>
      </c>
      <c r="E10" s="10" t="s">
        <v>36</v>
      </c>
      <c r="F10" s="10" t="s">
        <v>210</v>
      </c>
      <c r="G10" s="10" t="s">
        <v>38</v>
      </c>
      <c r="H10" s="9" t="s">
        <v>211</v>
      </c>
    </row>
    <row r="11" customFormat="false" ht="19.5" hidden="false" customHeight="true" outlineLevel="0" collapsed="false">
      <c r="A11" s="7" t="n">
        <v>19</v>
      </c>
      <c r="B11" s="7" t="s">
        <v>41</v>
      </c>
      <c r="C11" s="7" t="s">
        <v>204</v>
      </c>
      <c r="D11" s="7" t="n">
        <v>4</v>
      </c>
      <c r="E11" s="7" t="s">
        <v>36</v>
      </c>
      <c r="F11" s="7" t="s">
        <v>212</v>
      </c>
      <c r="G11" s="7" t="s">
        <v>38</v>
      </c>
      <c r="H11" s="6" t="s">
        <v>213</v>
      </c>
    </row>
    <row r="12" customFormat="false" ht="19.5" hidden="false" customHeight="true" outlineLevel="0" collapsed="false">
      <c r="A12" s="10" t="n">
        <v>23</v>
      </c>
      <c r="B12" s="10" t="s">
        <v>46</v>
      </c>
      <c r="C12" s="10" t="s">
        <v>204</v>
      </c>
      <c r="D12" s="10" t="n">
        <v>4</v>
      </c>
      <c r="E12" s="10" t="s">
        <v>30</v>
      </c>
      <c r="F12" s="10" t="s">
        <v>214</v>
      </c>
      <c r="G12" s="10" t="s">
        <v>208</v>
      </c>
      <c r="H12" s="9" t="s">
        <v>215</v>
      </c>
    </row>
    <row r="13" customFormat="false" ht="19.5" hidden="false" customHeight="true" outlineLevel="0" collapsed="false">
      <c r="A13" s="7" t="n">
        <v>27</v>
      </c>
      <c r="B13" s="7" t="s">
        <v>51</v>
      </c>
      <c r="C13" s="7" t="s">
        <v>204</v>
      </c>
      <c r="D13" s="7" t="n">
        <v>4</v>
      </c>
      <c r="E13" s="7" t="s">
        <v>36</v>
      </c>
      <c r="F13" s="7" t="s">
        <v>216</v>
      </c>
      <c r="G13" s="7" t="s">
        <v>38</v>
      </c>
      <c r="H13" s="6" t="s">
        <v>217</v>
      </c>
    </row>
    <row r="14" customFormat="false" ht="19.5" hidden="false" customHeight="true" outlineLevel="0" collapsed="false">
      <c r="A14" s="10" t="n">
        <v>31</v>
      </c>
      <c r="B14" s="10" t="s">
        <v>67</v>
      </c>
      <c r="C14" s="10" t="s">
        <v>204</v>
      </c>
      <c r="D14" s="10" t="n">
        <v>4</v>
      </c>
      <c r="E14" s="10" t="s">
        <v>30</v>
      </c>
      <c r="F14" s="10" t="s">
        <v>218</v>
      </c>
      <c r="G14" s="10" t="s">
        <v>219</v>
      </c>
      <c r="H14" s="9" t="s">
        <v>220</v>
      </c>
    </row>
    <row r="15" customFormat="false" ht="19.5" hidden="false" customHeight="true" outlineLevel="0" collapsed="false">
      <c r="A15" s="7" t="n">
        <v>35</v>
      </c>
      <c r="B15" s="7" t="s">
        <v>72</v>
      </c>
      <c r="C15" s="7" t="s">
        <v>204</v>
      </c>
      <c r="D15" s="7" t="n">
        <v>4</v>
      </c>
      <c r="E15" s="7" t="s">
        <v>58</v>
      </c>
      <c r="F15" s="7" t="s">
        <v>221</v>
      </c>
      <c r="G15" s="7" t="s">
        <v>38</v>
      </c>
      <c r="H15" s="6" t="s">
        <v>222</v>
      </c>
    </row>
    <row r="16" customFormat="false" ht="19.5" hidden="false" customHeight="true" outlineLevel="0" collapsed="false">
      <c r="A16" s="10" t="n">
        <v>39</v>
      </c>
      <c r="B16" s="10" t="s">
        <v>83</v>
      </c>
      <c r="C16" s="10" t="s">
        <v>204</v>
      </c>
      <c r="D16" s="10" t="n">
        <v>4</v>
      </c>
      <c r="E16" s="10" t="s">
        <v>85</v>
      </c>
      <c r="F16" s="10" t="s">
        <v>223</v>
      </c>
      <c r="G16" s="10" t="s">
        <v>38</v>
      </c>
      <c r="H16" s="9" t="s">
        <v>224</v>
      </c>
    </row>
    <row r="17" customFormat="false" ht="19.5" hidden="false" customHeight="true" outlineLevel="0" collapsed="false">
      <c r="A17" s="7" t="n">
        <v>43</v>
      </c>
      <c r="B17" s="7" t="s">
        <v>89</v>
      </c>
      <c r="C17" s="7" t="s">
        <v>204</v>
      </c>
      <c r="D17" s="7" t="n">
        <v>4</v>
      </c>
      <c r="E17" s="7" t="s">
        <v>85</v>
      </c>
      <c r="F17" s="7" t="s">
        <v>223</v>
      </c>
      <c r="G17" s="7" t="s">
        <v>38</v>
      </c>
      <c r="H17" s="6" t="s">
        <v>225</v>
      </c>
    </row>
    <row r="18" customFormat="false" ht="19.5" hidden="false" customHeight="true" outlineLevel="0" collapsed="false">
      <c r="A18" s="10" t="n">
        <v>47</v>
      </c>
      <c r="B18" s="10" t="s">
        <v>226</v>
      </c>
      <c r="C18" s="10" t="s">
        <v>201</v>
      </c>
      <c r="D18" s="10" t="n">
        <v>2</v>
      </c>
      <c r="E18" s="10" t="s">
        <v>95</v>
      </c>
      <c r="F18" s="10" t="s">
        <v>227</v>
      </c>
      <c r="G18" s="10" t="s">
        <v>38</v>
      </c>
      <c r="H18" s="9" t="s">
        <v>228</v>
      </c>
    </row>
    <row r="19" customFormat="false" ht="19.5" hidden="false" customHeight="true" outlineLevel="0" collapsed="false">
      <c r="A19" s="7" t="n">
        <v>49</v>
      </c>
      <c r="B19" s="7" t="s">
        <v>229</v>
      </c>
      <c r="C19" s="7" t="s">
        <v>201</v>
      </c>
      <c r="D19" s="7" t="n">
        <v>2</v>
      </c>
      <c r="E19" s="7" t="s">
        <v>95</v>
      </c>
      <c r="F19" s="7" t="s">
        <v>227</v>
      </c>
      <c r="G19" s="7" t="s">
        <v>38</v>
      </c>
      <c r="H19" s="6" t="s">
        <v>230</v>
      </c>
    </row>
    <row r="20" customFormat="false" ht="19.5" hidden="false" customHeight="true" outlineLevel="0" collapsed="false">
      <c r="A20" s="10" t="n">
        <v>51</v>
      </c>
      <c r="B20" s="10" t="s">
        <v>102</v>
      </c>
      <c r="C20" s="10" t="s">
        <v>192</v>
      </c>
      <c r="D20" s="10" t="n">
        <v>1</v>
      </c>
      <c r="E20" s="10" t="s">
        <v>104</v>
      </c>
      <c r="F20" s="10" t="s">
        <v>231</v>
      </c>
      <c r="G20" s="10" t="s">
        <v>38</v>
      </c>
      <c r="H20" s="9" t="s">
        <v>232</v>
      </c>
    </row>
    <row r="21" customFormat="false" ht="19.5" hidden="false" customHeight="true" outlineLevel="0" collapsed="false">
      <c r="A21" s="7" t="n">
        <v>52</v>
      </c>
      <c r="B21" s="7" t="s">
        <v>108</v>
      </c>
      <c r="C21" s="7" t="s">
        <v>192</v>
      </c>
      <c r="D21" s="7" t="n">
        <v>1</v>
      </c>
      <c r="E21" s="7" t="s">
        <v>110</v>
      </c>
      <c r="F21" s="7" t="s">
        <v>233</v>
      </c>
      <c r="G21" s="7" t="s">
        <v>38</v>
      </c>
      <c r="H21" s="6" t="s">
        <v>234</v>
      </c>
    </row>
    <row r="22" customFormat="false" ht="19.5" hidden="false" customHeight="true" outlineLevel="0" collapsed="false">
      <c r="A22" s="10" t="n">
        <v>53</v>
      </c>
      <c r="B22" s="10" t="s">
        <v>235</v>
      </c>
      <c r="C22" s="10" t="s">
        <v>192</v>
      </c>
      <c r="D22" s="10" t="n">
        <v>1</v>
      </c>
      <c r="E22" s="10" t="s">
        <v>85</v>
      </c>
      <c r="F22" s="10" t="s">
        <v>236</v>
      </c>
      <c r="G22" s="10" t="s">
        <v>85</v>
      </c>
      <c r="H22" s="9" t="s">
        <v>237</v>
      </c>
    </row>
    <row r="23" customFormat="false" ht="18" hidden="false" customHeight="true" outlineLevel="0" collapsed="false">
      <c r="A23" s="19" t="s">
        <v>238</v>
      </c>
      <c r="B23" s="19"/>
      <c r="C23" s="19"/>
      <c r="D23" s="19"/>
      <c r="E23" s="19"/>
      <c r="F23" s="19"/>
      <c r="G23" s="19"/>
    </row>
    <row r="25" customFormat="false" ht="21.75" hidden="false" customHeight="true" outlineLevel="0" collapsed="false">
      <c r="A25" s="20" t="s">
        <v>239</v>
      </c>
      <c r="B25" s="20"/>
      <c r="C25" s="20"/>
      <c r="D25" s="20"/>
      <c r="E25" s="20"/>
      <c r="F25" s="20"/>
      <c r="G25" s="20"/>
      <c r="H25" s="20"/>
    </row>
    <row r="26" customFormat="false" ht="19.5" hidden="false" customHeight="true" outlineLevel="0" collapsed="false">
      <c r="A26" s="4" t="s">
        <v>185</v>
      </c>
      <c r="B26" s="4" t="s">
        <v>186</v>
      </c>
      <c r="C26" s="4" t="s">
        <v>187</v>
      </c>
      <c r="D26" s="4" t="s">
        <v>188</v>
      </c>
      <c r="E26" s="4" t="s">
        <v>6</v>
      </c>
      <c r="F26" s="4" t="s">
        <v>189</v>
      </c>
      <c r="G26" s="4" t="s">
        <v>190</v>
      </c>
      <c r="H26" s="4" t="s">
        <v>15</v>
      </c>
    </row>
    <row r="27" customFormat="false" ht="19.5" hidden="false" customHeight="true" outlineLevel="0" collapsed="false">
      <c r="A27" s="7" t="n">
        <v>0</v>
      </c>
      <c r="B27" s="7" t="s">
        <v>191</v>
      </c>
      <c r="C27" s="7" t="s">
        <v>192</v>
      </c>
      <c r="D27" s="7" t="n">
        <v>1</v>
      </c>
      <c r="E27" s="7" t="s">
        <v>85</v>
      </c>
      <c r="F27" s="7" t="s">
        <v>240</v>
      </c>
      <c r="G27" s="7" t="s">
        <v>241</v>
      </c>
      <c r="H27" s="6" t="s">
        <v>195</v>
      </c>
    </row>
    <row r="28" customFormat="false" ht="19.5" hidden="false" customHeight="true" outlineLevel="0" collapsed="false">
      <c r="A28" s="10" t="n">
        <v>1</v>
      </c>
      <c r="B28" s="10" t="s">
        <v>196</v>
      </c>
      <c r="C28" s="10" t="s">
        <v>197</v>
      </c>
      <c r="D28" s="10" t="n">
        <v>4</v>
      </c>
      <c r="E28" s="10" t="s">
        <v>178</v>
      </c>
      <c r="F28" s="10" t="s">
        <v>242</v>
      </c>
      <c r="G28" s="10" t="s">
        <v>38</v>
      </c>
      <c r="H28" s="9" t="s">
        <v>243</v>
      </c>
    </row>
    <row r="29" customFormat="false" ht="19.5" hidden="false" customHeight="true" outlineLevel="0" collapsed="false">
      <c r="A29" s="7" t="n">
        <v>5</v>
      </c>
      <c r="B29" s="7" t="s">
        <v>200</v>
      </c>
      <c r="C29" s="7" t="s">
        <v>201</v>
      </c>
      <c r="D29" s="7" t="n">
        <v>2</v>
      </c>
      <c r="E29" s="7" t="s">
        <v>85</v>
      </c>
      <c r="F29" s="7" t="s">
        <v>202</v>
      </c>
      <c r="G29" s="7" t="s">
        <v>38</v>
      </c>
      <c r="H29" s="6" t="s">
        <v>244</v>
      </c>
    </row>
    <row r="30" customFormat="false" ht="19.5" hidden="false" customHeight="true" outlineLevel="0" collapsed="false">
      <c r="A30" s="10" t="n">
        <v>7</v>
      </c>
      <c r="B30" s="10" t="s">
        <v>121</v>
      </c>
      <c r="C30" s="10" t="s">
        <v>204</v>
      </c>
      <c r="D30" s="10" t="n">
        <v>4</v>
      </c>
      <c r="E30" s="10" t="s">
        <v>21</v>
      </c>
      <c r="F30" s="10" t="s">
        <v>205</v>
      </c>
      <c r="G30" s="10" t="s">
        <v>38</v>
      </c>
      <c r="H30" s="9" t="s">
        <v>245</v>
      </c>
    </row>
    <row r="31" customFormat="false" ht="19.5" hidden="false" customHeight="true" outlineLevel="0" collapsed="false">
      <c r="A31" s="7" t="n">
        <v>11</v>
      </c>
      <c r="B31" s="7" t="s">
        <v>129</v>
      </c>
      <c r="C31" s="7" t="s">
        <v>204</v>
      </c>
      <c r="D31" s="7" t="n">
        <v>4</v>
      </c>
      <c r="E31" s="7" t="s">
        <v>85</v>
      </c>
      <c r="F31" s="7" t="s">
        <v>223</v>
      </c>
      <c r="G31" s="7" t="s">
        <v>38</v>
      </c>
      <c r="H31" s="6" t="s">
        <v>246</v>
      </c>
    </row>
    <row r="32" customFormat="false" ht="19.5" hidden="false" customHeight="true" outlineLevel="0" collapsed="false">
      <c r="A32" s="10" t="n">
        <v>15</v>
      </c>
      <c r="B32" s="10" t="s">
        <v>135</v>
      </c>
      <c r="C32" s="10" t="s">
        <v>204</v>
      </c>
      <c r="D32" s="10" t="n">
        <v>4</v>
      </c>
      <c r="E32" s="10" t="s">
        <v>36</v>
      </c>
      <c r="F32" s="10" t="s">
        <v>247</v>
      </c>
      <c r="G32" s="10" t="s">
        <v>38</v>
      </c>
      <c r="H32" s="9" t="s">
        <v>248</v>
      </c>
    </row>
    <row r="33" customFormat="false" ht="19.5" hidden="false" customHeight="true" outlineLevel="0" collapsed="false">
      <c r="A33" s="7" t="n">
        <v>19</v>
      </c>
      <c r="B33" s="7" t="s">
        <v>139</v>
      </c>
      <c r="C33" s="7" t="s">
        <v>192</v>
      </c>
      <c r="D33" s="7" t="n">
        <v>1</v>
      </c>
      <c r="E33" s="7" t="s">
        <v>104</v>
      </c>
      <c r="F33" s="7" t="s">
        <v>249</v>
      </c>
      <c r="G33" s="7" t="s">
        <v>38</v>
      </c>
      <c r="H33" s="6" t="s">
        <v>250</v>
      </c>
    </row>
    <row r="34" customFormat="false" ht="19.5" hidden="false" customHeight="true" outlineLevel="0" collapsed="false">
      <c r="A34" s="10" t="n">
        <v>20</v>
      </c>
      <c r="B34" s="10" t="s">
        <v>143</v>
      </c>
      <c r="C34" s="10" t="s">
        <v>192</v>
      </c>
      <c r="D34" s="10" t="n">
        <v>1</v>
      </c>
      <c r="E34" s="10" t="s">
        <v>145</v>
      </c>
      <c r="F34" s="10" t="s">
        <v>251</v>
      </c>
      <c r="G34" s="10" t="s">
        <v>38</v>
      </c>
      <c r="H34" s="9" t="s">
        <v>252</v>
      </c>
    </row>
    <row r="35" customFormat="false" ht="19.5" hidden="false" customHeight="true" outlineLevel="0" collapsed="false">
      <c r="A35" s="7" t="n">
        <v>21</v>
      </c>
      <c r="B35" s="7" t="s">
        <v>235</v>
      </c>
      <c r="C35" s="7" t="s">
        <v>192</v>
      </c>
      <c r="D35" s="7" t="n">
        <v>1</v>
      </c>
      <c r="E35" s="7" t="s">
        <v>85</v>
      </c>
      <c r="F35" s="7" t="s">
        <v>253</v>
      </c>
      <c r="G35" s="7" t="s">
        <v>85</v>
      </c>
      <c r="H35" s="6" t="s">
        <v>254</v>
      </c>
    </row>
    <row r="36" customFormat="false" ht="18" hidden="false" customHeight="true" outlineLevel="0" collapsed="false">
      <c r="A36" s="21" t="s">
        <v>255</v>
      </c>
      <c r="B36" s="21"/>
      <c r="C36" s="21"/>
      <c r="D36" s="21"/>
      <c r="E36" s="21"/>
      <c r="F36" s="21"/>
      <c r="G36" s="21"/>
    </row>
  </sheetData>
  <mergeCells count="6">
    <mergeCell ref="A1:H1"/>
    <mergeCell ref="A2:H2"/>
    <mergeCell ref="A3:H3"/>
    <mergeCell ref="A23:G23"/>
    <mergeCell ref="A25:H2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42"/>
    <col collapsed="false" customWidth="true" hidden="false" outlineLevel="0" max="6" min="6" style="1" width="32"/>
    <col collapsed="false" customWidth="true" hidden="false" outlineLevel="0" max="7" min="7" style="1" width="38"/>
  </cols>
  <sheetData>
    <row r="1" customFormat="false" ht="24" hidden="false" customHeight="true" outlineLevel="0" collapsed="false">
      <c r="A1" s="22" t="s">
        <v>256</v>
      </c>
      <c r="B1" s="22"/>
      <c r="C1" s="22"/>
      <c r="D1" s="22"/>
      <c r="E1" s="22"/>
      <c r="F1" s="22"/>
      <c r="G1" s="22"/>
    </row>
    <row r="2" customFormat="false" ht="21.75" hidden="false" customHeight="true" outlineLevel="0" collapsed="false">
      <c r="A2" s="4" t="s">
        <v>257</v>
      </c>
      <c r="B2" s="4" t="s">
        <v>258</v>
      </c>
      <c r="C2" s="4" t="s">
        <v>5</v>
      </c>
      <c r="D2" s="4" t="s">
        <v>259</v>
      </c>
      <c r="E2" s="4" t="s">
        <v>260</v>
      </c>
      <c r="F2" s="4" t="s">
        <v>261</v>
      </c>
      <c r="G2" s="4" t="s">
        <v>15</v>
      </c>
    </row>
    <row r="3" customFormat="false" ht="36" hidden="false" customHeight="true" outlineLevel="0" collapsed="false">
      <c r="A3" s="7" t="s">
        <v>262</v>
      </c>
      <c r="B3" s="6" t="s">
        <v>263</v>
      </c>
      <c r="C3" s="7" t="s">
        <v>20</v>
      </c>
      <c r="D3" s="7" t="s">
        <v>264</v>
      </c>
      <c r="E3" s="6" t="s">
        <v>265</v>
      </c>
      <c r="F3" s="6" t="s">
        <v>266</v>
      </c>
      <c r="G3" s="6" t="s">
        <v>267</v>
      </c>
    </row>
    <row r="4" customFormat="false" ht="36" hidden="false" customHeight="true" outlineLevel="0" collapsed="false">
      <c r="A4" s="10" t="s">
        <v>268</v>
      </c>
      <c r="B4" s="9" t="s">
        <v>269</v>
      </c>
      <c r="C4" s="10" t="s">
        <v>124</v>
      </c>
      <c r="D4" s="10" t="s">
        <v>270</v>
      </c>
      <c r="E4" s="9" t="s">
        <v>271</v>
      </c>
      <c r="F4" s="9" t="s">
        <v>272</v>
      </c>
      <c r="G4" s="9" t="s">
        <v>273</v>
      </c>
    </row>
    <row r="5" customFormat="false" ht="36" hidden="false" customHeight="true" outlineLevel="0" collapsed="false">
      <c r="A5" s="7" t="s">
        <v>274</v>
      </c>
      <c r="B5" s="6" t="s">
        <v>275</v>
      </c>
      <c r="C5" s="7" t="s">
        <v>124</v>
      </c>
      <c r="D5" s="7" t="s">
        <v>276</v>
      </c>
      <c r="E5" s="6" t="s">
        <v>277</v>
      </c>
      <c r="F5" s="6" t="s">
        <v>278</v>
      </c>
      <c r="G5" s="6" t="s">
        <v>279</v>
      </c>
    </row>
    <row r="6" customFormat="false" ht="36" hidden="false" customHeight="true" outlineLevel="0" collapsed="false">
      <c r="A6" s="10" t="s">
        <v>280</v>
      </c>
      <c r="B6" s="9" t="s">
        <v>281</v>
      </c>
      <c r="C6" s="10" t="s">
        <v>124</v>
      </c>
      <c r="D6" s="10" t="s">
        <v>276</v>
      </c>
      <c r="E6" s="9" t="s">
        <v>282</v>
      </c>
      <c r="F6" s="9" t="s">
        <v>283</v>
      </c>
      <c r="G6" s="9" t="s">
        <v>284</v>
      </c>
    </row>
    <row r="7" customFormat="false" ht="36" hidden="false" customHeight="true" outlineLevel="0" collapsed="false">
      <c r="A7" s="7" t="s">
        <v>285</v>
      </c>
      <c r="B7" s="6" t="s">
        <v>286</v>
      </c>
      <c r="C7" s="7" t="s">
        <v>20</v>
      </c>
      <c r="D7" s="7" t="s">
        <v>287</v>
      </c>
      <c r="E7" s="6" t="s">
        <v>288</v>
      </c>
      <c r="F7" s="6" t="s">
        <v>289</v>
      </c>
      <c r="G7" s="6" t="s">
        <v>290</v>
      </c>
    </row>
    <row r="8" customFormat="false" ht="36" hidden="false" customHeight="true" outlineLevel="0" collapsed="false">
      <c r="A8" s="10" t="s">
        <v>291</v>
      </c>
      <c r="B8" s="9" t="s">
        <v>292</v>
      </c>
      <c r="C8" s="10" t="s">
        <v>20</v>
      </c>
      <c r="D8" s="10" t="s">
        <v>287</v>
      </c>
      <c r="E8" s="9" t="s">
        <v>293</v>
      </c>
      <c r="F8" s="9" t="s">
        <v>294</v>
      </c>
      <c r="G8" s="9" t="s">
        <v>295</v>
      </c>
    </row>
    <row r="9" customFormat="false" ht="36" hidden="false" customHeight="true" outlineLevel="0" collapsed="false">
      <c r="A9" s="7" t="s">
        <v>296</v>
      </c>
      <c r="B9" s="6" t="s">
        <v>297</v>
      </c>
      <c r="C9" s="7" t="s">
        <v>20</v>
      </c>
      <c r="D9" s="7" t="s">
        <v>287</v>
      </c>
      <c r="E9" s="6" t="s">
        <v>298</v>
      </c>
      <c r="F9" s="6" t="s">
        <v>299</v>
      </c>
      <c r="G9" s="6" t="s">
        <v>300</v>
      </c>
    </row>
    <row r="10" customFormat="false" ht="36" hidden="false" customHeight="true" outlineLevel="0" collapsed="false">
      <c r="A10" s="23" t="s">
        <v>301</v>
      </c>
      <c r="B10" s="24" t="s">
        <v>302</v>
      </c>
      <c r="C10" s="23" t="s">
        <v>20</v>
      </c>
      <c r="D10" s="23" t="s">
        <v>287</v>
      </c>
      <c r="E10" s="24" t="s">
        <v>303</v>
      </c>
      <c r="F10" s="24" t="s">
        <v>304</v>
      </c>
      <c r="G10" s="24" t="s">
        <v>305</v>
      </c>
    </row>
    <row r="11" customFormat="false" ht="36" hidden="false" customHeight="true" outlineLevel="0" collapsed="false">
      <c r="A11" s="7" t="s">
        <v>306</v>
      </c>
      <c r="B11" s="6" t="s">
        <v>307</v>
      </c>
      <c r="C11" s="7" t="s">
        <v>20</v>
      </c>
      <c r="D11" s="7" t="s">
        <v>276</v>
      </c>
      <c r="E11" s="6" t="s">
        <v>308</v>
      </c>
      <c r="F11" s="6" t="s">
        <v>309</v>
      </c>
      <c r="G11" s="6" t="s">
        <v>310</v>
      </c>
    </row>
    <row r="12" customFormat="false" ht="36" hidden="false" customHeight="true" outlineLevel="0" collapsed="false">
      <c r="A12" s="23" t="s">
        <v>311</v>
      </c>
      <c r="B12" s="24" t="s">
        <v>312</v>
      </c>
      <c r="C12" s="23" t="s">
        <v>20</v>
      </c>
      <c r="D12" s="23" t="s">
        <v>287</v>
      </c>
      <c r="E12" s="24" t="s">
        <v>313</v>
      </c>
      <c r="F12" s="24" t="s">
        <v>314</v>
      </c>
      <c r="G12" s="24" t="s">
        <v>315</v>
      </c>
    </row>
    <row r="13" customFormat="false" ht="36" hidden="false" customHeight="true" outlineLevel="0" collapsed="false">
      <c r="A13" s="7" t="s">
        <v>316</v>
      </c>
      <c r="B13" s="6" t="s">
        <v>317</v>
      </c>
      <c r="C13" s="7" t="s">
        <v>124</v>
      </c>
      <c r="D13" s="7" t="s">
        <v>276</v>
      </c>
      <c r="E13" s="6" t="s">
        <v>318</v>
      </c>
      <c r="F13" s="6" t="s">
        <v>319</v>
      </c>
      <c r="G13" s="6" t="s">
        <v>320</v>
      </c>
    </row>
    <row r="14" customFormat="false" ht="36" hidden="false" customHeight="true" outlineLevel="0" collapsed="false">
      <c r="A14" s="10" t="s">
        <v>321</v>
      </c>
      <c r="B14" s="9" t="s">
        <v>322</v>
      </c>
      <c r="C14" s="10" t="s">
        <v>124</v>
      </c>
      <c r="D14" s="10" t="s">
        <v>323</v>
      </c>
      <c r="E14" s="9" t="s">
        <v>324</v>
      </c>
      <c r="F14" s="9" t="s">
        <v>325</v>
      </c>
      <c r="G14" s="9" t="s">
        <v>326</v>
      </c>
    </row>
    <row r="15" customFormat="false" ht="36" hidden="false" customHeight="true" outlineLevel="0" collapsed="false">
      <c r="A15" s="7" t="s">
        <v>327</v>
      </c>
      <c r="B15" s="6" t="s">
        <v>328</v>
      </c>
      <c r="C15" s="7" t="s">
        <v>124</v>
      </c>
      <c r="D15" s="7" t="s">
        <v>276</v>
      </c>
      <c r="E15" s="6" t="s">
        <v>329</v>
      </c>
      <c r="F15" s="6" t="s">
        <v>330</v>
      </c>
      <c r="G15" s="6" t="s">
        <v>331</v>
      </c>
    </row>
    <row r="16" customFormat="false" ht="36" hidden="false" customHeight="true" outlineLevel="0" collapsed="false">
      <c r="A16" s="10" t="s">
        <v>332</v>
      </c>
      <c r="B16" s="9" t="s">
        <v>333</v>
      </c>
      <c r="C16" s="10" t="s">
        <v>124</v>
      </c>
      <c r="D16" s="10" t="s">
        <v>334</v>
      </c>
      <c r="E16" s="9" t="s">
        <v>335</v>
      </c>
      <c r="F16" s="9" t="s">
        <v>336</v>
      </c>
      <c r="G16" s="9" t="s">
        <v>337</v>
      </c>
    </row>
    <row r="17" customFormat="false" ht="36" hidden="false" customHeight="true" outlineLevel="0" collapsed="false">
      <c r="A17" s="7" t="s">
        <v>338</v>
      </c>
      <c r="B17" s="6" t="s">
        <v>339</v>
      </c>
      <c r="C17" s="7" t="s">
        <v>340</v>
      </c>
      <c r="D17" s="7" t="s">
        <v>341</v>
      </c>
      <c r="E17" s="6" t="s">
        <v>342</v>
      </c>
      <c r="F17" s="6" t="s">
        <v>343</v>
      </c>
      <c r="G17" s="6" t="s">
        <v>344</v>
      </c>
    </row>
    <row r="18" customFormat="false" ht="36" hidden="false" customHeight="true" outlineLevel="0" collapsed="false">
      <c r="A18" s="10" t="s">
        <v>345</v>
      </c>
      <c r="B18" s="9" t="s">
        <v>346</v>
      </c>
      <c r="C18" s="10" t="s">
        <v>340</v>
      </c>
      <c r="D18" s="10" t="s">
        <v>347</v>
      </c>
      <c r="E18" s="9" t="s">
        <v>348</v>
      </c>
      <c r="F18" s="9" t="s">
        <v>349</v>
      </c>
      <c r="G18" s="9" t="s">
        <v>350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8" min="4" style="1" width="16"/>
  </cols>
  <sheetData>
    <row r="1" customFormat="false" ht="24" hidden="false" customHeight="true" outlineLevel="0" collapsed="false">
      <c r="A1" s="22" t="s">
        <v>351</v>
      </c>
      <c r="B1" s="22"/>
      <c r="C1" s="22"/>
      <c r="D1" s="22"/>
      <c r="E1" s="22"/>
      <c r="F1" s="22"/>
      <c r="G1" s="22"/>
      <c r="H1" s="22"/>
      <c r="I1" s="22"/>
      <c r="J1" s="22"/>
    </row>
    <row r="3" customFormat="false" ht="19.5" hidden="false" customHeight="true" outlineLevel="0" collapsed="false">
      <c r="A3" s="25" t="s">
        <v>352</v>
      </c>
      <c r="B3" s="25"/>
      <c r="D3" s="25" t="s">
        <v>353</v>
      </c>
      <c r="E3" s="25"/>
      <c r="F3" s="25"/>
      <c r="G3" s="25"/>
      <c r="H3" s="25"/>
    </row>
    <row r="4" customFormat="false" ht="31.5" hidden="false" customHeight="true" outlineLevel="0" collapsed="false">
      <c r="A4" s="26" t="s">
        <v>354</v>
      </c>
      <c r="B4" s="9" t="s">
        <v>355</v>
      </c>
      <c r="D4" s="4" t="s">
        <v>356</v>
      </c>
      <c r="E4" s="4" t="s">
        <v>357</v>
      </c>
      <c r="F4" s="4" t="s">
        <v>358</v>
      </c>
      <c r="G4" s="4" t="s">
        <v>359</v>
      </c>
      <c r="H4" s="4" t="s">
        <v>360</v>
      </c>
    </row>
    <row r="5" customFormat="false" ht="18" hidden="false" customHeight="true" outlineLevel="0" collapsed="false">
      <c r="A5" s="27" t="s">
        <v>361</v>
      </c>
      <c r="B5" s="6" t="s">
        <v>362</v>
      </c>
      <c r="D5" s="10" t="n">
        <v>0</v>
      </c>
      <c r="E5" s="10" t="n">
        <v>12.2</v>
      </c>
      <c r="F5" s="10" t="n">
        <v>0</v>
      </c>
      <c r="G5" s="10" t="n">
        <v>0</v>
      </c>
      <c r="H5" s="10" t="n">
        <v>0</v>
      </c>
    </row>
    <row r="6" customFormat="false" ht="18" hidden="false" customHeight="true" outlineLevel="0" collapsed="false">
      <c r="A6" s="26" t="s">
        <v>363</v>
      </c>
      <c r="B6" s="9" t="s">
        <v>364</v>
      </c>
      <c r="D6" s="7" t="n">
        <v>0.1</v>
      </c>
      <c r="E6" s="7" t="n">
        <v>11.8</v>
      </c>
      <c r="F6" s="7" t="n">
        <v>1.18</v>
      </c>
      <c r="G6" s="7" t="n">
        <v>61.3</v>
      </c>
      <c r="H6" s="7" t="n">
        <v>8</v>
      </c>
    </row>
    <row r="7" customFormat="false" ht="18" hidden="false" customHeight="true" outlineLevel="0" collapsed="false">
      <c r="A7" s="27" t="s">
        <v>365</v>
      </c>
      <c r="B7" s="6" t="s">
        <v>366</v>
      </c>
      <c r="D7" s="10" t="n">
        <v>0.2</v>
      </c>
      <c r="E7" s="10" t="n">
        <v>11.4</v>
      </c>
      <c r="F7" s="10" t="n">
        <v>2.28</v>
      </c>
      <c r="G7" s="10" t="n">
        <v>59.3</v>
      </c>
      <c r="H7" s="10" t="n">
        <v>16</v>
      </c>
    </row>
    <row r="8" customFormat="false" ht="18" hidden="false" customHeight="true" outlineLevel="0" collapsed="false">
      <c r="A8" s="26" t="s">
        <v>367</v>
      </c>
      <c r="B8" s="9" t="s">
        <v>368</v>
      </c>
      <c r="D8" s="7" t="n">
        <v>0.4</v>
      </c>
      <c r="E8" s="7" t="n">
        <v>10.8</v>
      </c>
      <c r="F8" s="7" t="n">
        <v>4.32</v>
      </c>
      <c r="G8" s="7" t="n">
        <v>56.1</v>
      </c>
      <c r="H8" s="7" t="n">
        <v>32</v>
      </c>
    </row>
    <row r="9" customFormat="false" ht="18" hidden="false" customHeight="true" outlineLevel="0" collapsed="false">
      <c r="A9" s="27" t="s">
        <v>369</v>
      </c>
      <c r="B9" s="6" t="s">
        <v>370</v>
      </c>
      <c r="D9" s="10" t="n">
        <v>0.6</v>
      </c>
      <c r="E9" s="10" t="n">
        <v>10.3</v>
      </c>
      <c r="F9" s="10" t="n">
        <v>6.18</v>
      </c>
      <c r="G9" s="10" t="n">
        <v>53.5</v>
      </c>
      <c r="H9" s="10" t="n">
        <v>48</v>
      </c>
    </row>
    <row r="10" customFormat="false" ht="18" hidden="false" customHeight="true" outlineLevel="0" collapsed="false">
      <c r="A10" s="26" t="s">
        <v>371</v>
      </c>
      <c r="B10" s="9" t="s">
        <v>372</v>
      </c>
      <c r="D10" s="7" t="n">
        <v>0.8</v>
      </c>
      <c r="E10" s="7" t="n">
        <v>9.9</v>
      </c>
      <c r="F10" s="7" t="n">
        <v>7.92</v>
      </c>
      <c r="G10" s="7" t="n">
        <v>51.5</v>
      </c>
      <c r="H10" s="7" t="n">
        <v>64</v>
      </c>
    </row>
    <row r="11" customFormat="false" ht="18" hidden="false" customHeight="true" outlineLevel="0" collapsed="false">
      <c r="A11" s="27" t="s">
        <v>373</v>
      </c>
      <c r="B11" s="6" t="s">
        <v>374</v>
      </c>
      <c r="D11" s="10" t="n">
        <v>1</v>
      </c>
      <c r="E11" s="10" t="n">
        <v>9.55</v>
      </c>
      <c r="F11" s="10" t="n">
        <v>9.55</v>
      </c>
      <c r="G11" s="10" t="n">
        <v>49.6</v>
      </c>
      <c r="H11" s="10" t="n">
        <v>80</v>
      </c>
    </row>
    <row r="12" customFormat="false" ht="18" hidden="false" customHeight="true" outlineLevel="0" collapsed="false">
      <c r="A12" s="26" t="s">
        <v>375</v>
      </c>
      <c r="B12" s="9" t="s">
        <v>376</v>
      </c>
      <c r="D12" s="7" t="n">
        <v>1.2</v>
      </c>
      <c r="E12" s="7" t="n">
        <v>9.2</v>
      </c>
      <c r="F12" s="7" t="n">
        <v>11.04</v>
      </c>
      <c r="G12" s="7" t="n">
        <v>47.8</v>
      </c>
      <c r="H12" s="7" t="n">
        <v>96</v>
      </c>
    </row>
    <row r="13" customFormat="false" ht="18" hidden="false" customHeight="true" outlineLevel="0" collapsed="false">
      <c r="A13" s="27" t="s">
        <v>377</v>
      </c>
      <c r="B13" s="6" t="s">
        <v>378</v>
      </c>
      <c r="D13" s="10" t="n">
        <v>1.4</v>
      </c>
      <c r="E13" s="10" t="n">
        <v>8.9</v>
      </c>
      <c r="F13" s="10" t="n">
        <v>12.46</v>
      </c>
      <c r="G13" s="10" t="n">
        <v>46.3</v>
      </c>
      <c r="H13" s="10" t="n">
        <v>112</v>
      </c>
    </row>
    <row r="14" customFormat="false" ht="18" hidden="false" customHeight="true" outlineLevel="0" collapsed="false">
      <c r="A14" s="26" t="s">
        <v>379</v>
      </c>
      <c r="B14" s="9" t="s">
        <v>380</v>
      </c>
      <c r="D14" s="7" t="n">
        <v>1.6</v>
      </c>
      <c r="E14" s="7" t="n">
        <v>8.6</v>
      </c>
      <c r="F14" s="7" t="n">
        <v>13.76</v>
      </c>
      <c r="G14" s="7" t="n">
        <v>44.7</v>
      </c>
      <c r="H14" s="7" t="n">
        <v>128</v>
      </c>
    </row>
    <row r="15" customFormat="false" ht="18" hidden="false" customHeight="true" outlineLevel="0" collapsed="false">
      <c r="A15" s="27" t="s">
        <v>381</v>
      </c>
      <c r="B15" s="6" t="s">
        <v>382</v>
      </c>
      <c r="D15" s="10" t="n">
        <v>1.8</v>
      </c>
      <c r="E15" s="10" t="n">
        <v>8.35</v>
      </c>
      <c r="F15" s="10" t="n">
        <v>15.03</v>
      </c>
      <c r="G15" s="10" t="n">
        <v>43.4</v>
      </c>
      <c r="H15" s="10" t="n">
        <v>144</v>
      </c>
    </row>
    <row r="16" customFormat="false" ht="18" hidden="false" customHeight="true" outlineLevel="0" collapsed="false">
      <c r="A16" s="26" t="s">
        <v>383</v>
      </c>
      <c r="B16" s="9" t="s">
        <v>384</v>
      </c>
      <c r="D16" s="7" t="n">
        <v>2</v>
      </c>
      <c r="E16" s="7" t="n">
        <v>8.1</v>
      </c>
      <c r="F16" s="7" t="n">
        <v>16.2</v>
      </c>
      <c r="G16" s="7" t="n">
        <v>42.1</v>
      </c>
      <c r="H16" s="7" t="n">
        <v>160</v>
      </c>
    </row>
    <row r="17" customFormat="false" ht="18" hidden="false" customHeight="true" outlineLevel="0" collapsed="false">
      <c r="A17" s="27" t="s">
        <v>385</v>
      </c>
      <c r="B17" s="6" t="s">
        <v>386</v>
      </c>
      <c r="D17" s="10" t="n">
        <v>2.2</v>
      </c>
      <c r="E17" s="10" t="n">
        <v>7.9</v>
      </c>
      <c r="F17" s="10" t="n">
        <v>17.38</v>
      </c>
      <c r="G17" s="10" t="n">
        <v>41.1</v>
      </c>
      <c r="H17" s="10" t="n">
        <v>176</v>
      </c>
    </row>
    <row r="18" customFormat="false" ht="18" hidden="false" customHeight="true" outlineLevel="0" collapsed="false">
      <c r="A18" s="26" t="s">
        <v>387</v>
      </c>
      <c r="B18" s="9" t="s">
        <v>388</v>
      </c>
      <c r="D18" s="7" t="n">
        <v>2.4</v>
      </c>
      <c r="E18" s="7" t="n">
        <v>7.7</v>
      </c>
      <c r="F18" s="7" t="n">
        <v>18.48</v>
      </c>
      <c r="G18" s="7" t="n">
        <v>40</v>
      </c>
      <c r="H18" s="7" t="n">
        <v>192</v>
      </c>
    </row>
    <row r="19" customFormat="false" ht="18" hidden="false" customHeight="true" outlineLevel="0" collapsed="false">
      <c r="A19" s="27" t="s">
        <v>389</v>
      </c>
      <c r="B19" s="6" t="s">
        <v>390</v>
      </c>
      <c r="D19" s="28" t="n">
        <v>2.6</v>
      </c>
      <c r="E19" s="28" t="n">
        <v>7.5</v>
      </c>
      <c r="F19" s="28" t="n">
        <v>19.5</v>
      </c>
      <c r="G19" s="28" t="n">
        <v>39</v>
      </c>
      <c r="H19" s="28" t="n">
        <v>208</v>
      </c>
    </row>
    <row r="20" customFormat="false" ht="18" hidden="false" customHeight="true" outlineLevel="0" collapsed="false">
      <c r="A20" s="26" t="s">
        <v>391</v>
      </c>
      <c r="B20" s="9" t="s">
        <v>392</v>
      </c>
      <c r="D20" s="7" t="n">
        <v>2.8</v>
      </c>
      <c r="E20" s="7" t="n">
        <v>7.3</v>
      </c>
      <c r="F20" s="7" t="n">
        <v>20.44</v>
      </c>
      <c r="G20" s="7" t="n">
        <v>37.9</v>
      </c>
      <c r="H20" s="7" t="n">
        <v>224</v>
      </c>
    </row>
    <row r="21" customFormat="false" ht="18" hidden="false" customHeight="true" outlineLevel="0" collapsed="false">
      <c r="A21" s="27" t="s">
        <v>393</v>
      </c>
      <c r="B21" s="6" t="s">
        <v>394</v>
      </c>
      <c r="D21" s="10" t="n">
        <v>3</v>
      </c>
      <c r="E21" s="10" t="n">
        <v>7.1</v>
      </c>
      <c r="F21" s="10" t="n">
        <v>21.3</v>
      </c>
      <c r="G21" s="10" t="n">
        <v>36.9</v>
      </c>
      <c r="H21" s="10" t="n">
        <v>240</v>
      </c>
    </row>
    <row r="22" customFormat="false" ht="18" hidden="false" customHeight="true" outlineLevel="0" collapsed="false">
      <c r="A22" s="26" t="s">
        <v>395</v>
      </c>
      <c r="B22" s="9" t="s">
        <v>396</v>
      </c>
      <c r="D22" s="7" t="n">
        <v>3.2</v>
      </c>
      <c r="E22" s="7" t="n">
        <v>6.95</v>
      </c>
      <c r="F22" s="7" t="n">
        <v>22.24</v>
      </c>
      <c r="G22" s="7" t="n">
        <v>36.1</v>
      </c>
      <c r="H22" s="7" t="n">
        <v>256</v>
      </c>
    </row>
    <row r="23" customFormat="false" ht="18" hidden="false" customHeight="true" outlineLevel="0" collapsed="false">
      <c r="D23" s="10" t="n">
        <v>3.4</v>
      </c>
      <c r="E23" s="10" t="n">
        <v>6.8</v>
      </c>
      <c r="F23" s="10" t="n">
        <v>23.12</v>
      </c>
      <c r="G23" s="10" t="n">
        <v>35.3</v>
      </c>
      <c r="H23" s="10" t="n">
        <v>272</v>
      </c>
    </row>
    <row r="24" customFormat="false" ht="18" hidden="false" customHeight="true" outlineLevel="0" collapsed="false">
      <c r="D24" s="7" t="n">
        <v>3.5</v>
      </c>
      <c r="E24" s="7" t="n">
        <v>6.75</v>
      </c>
      <c r="F24" s="7" t="n">
        <v>23.63</v>
      </c>
      <c r="G24" s="7" t="n">
        <v>35.1</v>
      </c>
      <c r="H24" s="7" t="n">
        <v>280</v>
      </c>
    </row>
    <row r="26" customFormat="false" ht="27.75" hidden="false" customHeight="true" outlineLevel="0" collapsed="false">
      <c r="D26" s="29" t="s">
        <v>397</v>
      </c>
      <c r="E26" s="29"/>
      <c r="F26" s="29"/>
      <c r="G26" s="29"/>
      <c r="H26" s="29"/>
    </row>
  </sheetData>
  <mergeCells count="4">
    <mergeCell ref="A1:J1"/>
    <mergeCell ref="A3:B3"/>
    <mergeCell ref="D3:H3"/>
    <mergeCell ref="D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5"/>
  </cols>
  <sheetData>
    <row r="1" customFormat="false" ht="24" hidden="false" customHeight="true" outlineLevel="0" collapsed="false">
      <c r="A1" s="22" t="s">
        <v>398</v>
      </c>
      <c r="B1" s="22"/>
      <c r="C1" s="22"/>
      <c r="D1" s="22"/>
    </row>
    <row r="3" customFormat="false" ht="18" hidden="false" customHeight="true" outlineLevel="0" collapsed="false">
      <c r="A3" s="30" t="s">
        <v>399</v>
      </c>
      <c r="B3" s="30"/>
    </row>
    <row r="4" customFormat="false" ht="18" hidden="false" customHeight="true" outlineLevel="0" collapsed="false">
      <c r="A4" s="27" t="s">
        <v>400</v>
      </c>
      <c r="B4" s="6" t="s">
        <v>401</v>
      </c>
    </row>
    <row r="5" customFormat="false" ht="18" hidden="false" customHeight="true" outlineLevel="0" collapsed="false">
      <c r="A5" s="26" t="s">
        <v>402</v>
      </c>
      <c r="B5" s="9" t="s">
        <v>403</v>
      </c>
    </row>
    <row r="6" customFormat="false" ht="18" hidden="false" customHeight="true" outlineLevel="0" collapsed="false">
      <c r="A6" s="27" t="s">
        <v>404</v>
      </c>
      <c r="B6" s="6" t="s">
        <v>405</v>
      </c>
    </row>
    <row r="7" customFormat="false" ht="18" hidden="false" customHeight="true" outlineLevel="0" collapsed="false">
      <c r="A7" s="26" t="s">
        <v>406</v>
      </c>
      <c r="B7" s="9" t="s">
        <v>407</v>
      </c>
    </row>
    <row r="8" customFormat="false" ht="18" hidden="false" customHeight="true" outlineLevel="0" collapsed="false">
      <c r="A8" s="27" t="s">
        <v>408</v>
      </c>
      <c r="B8" s="6" t="s">
        <v>409</v>
      </c>
    </row>
    <row r="9" customFormat="false" ht="18" hidden="false" customHeight="true" outlineLevel="0" collapsed="false">
      <c r="A9" s="26" t="s">
        <v>410</v>
      </c>
      <c r="B9" s="9" t="s">
        <v>411</v>
      </c>
    </row>
    <row r="10" customFormat="false" ht="18" hidden="false" customHeight="true" outlineLevel="0" collapsed="false">
      <c r="A10" s="27" t="s">
        <v>412</v>
      </c>
      <c r="B10" s="6" t="s">
        <v>413</v>
      </c>
    </row>
    <row r="11" customFormat="false" ht="18" hidden="false" customHeight="true" outlineLevel="0" collapsed="false">
      <c r="A11" s="26"/>
      <c r="B11" s="9"/>
    </row>
    <row r="12" customFormat="false" ht="18" hidden="false" customHeight="true" outlineLevel="0" collapsed="false">
      <c r="A12" s="30" t="s">
        <v>414</v>
      </c>
      <c r="B12" s="30"/>
    </row>
    <row r="13" customFormat="false" ht="18" hidden="false" customHeight="true" outlineLevel="0" collapsed="false">
      <c r="A13" s="26" t="s">
        <v>415</v>
      </c>
      <c r="B13" s="9" t="s">
        <v>416</v>
      </c>
    </row>
    <row r="14" customFormat="false" ht="18" hidden="false" customHeight="true" outlineLevel="0" collapsed="false">
      <c r="A14" s="27" t="s">
        <v>417</v>
      </c>
      <c r="B14" s="6" t="s">
        <v>418</v>
      </c>
    </row>
    <row r="15" customFormat="false" ht="18" hidden="false" customHeight="true" outlineLevel="0" collapsed="false">
      <c r="A15" s="26" t="s">
        <v>419</v>
      </c>
      <c r="B15" s="9" t="s">
        <v>420</v>
      </c>
    </row>
    <row r="16" customFormat="false" ht="18" hidden="false" customHeight="true" outlineLevel="0" collapsed="false">
      <c r="A16" s="27" t="s">
        <v>421</v>
      </c>
      <c r="B16" s="6" t="s">
        <v>422</v>
      </c>
    </row>
    <row r="17" customFormat="false" ht="18" hidden="false" customHeight="true" outlineLevel="0" collapsed="false">
      <c r="A17" s="26"/>
      <c r="B17" s="9"/>
    </row>
    <row r="18" customFormat="false" ht="18" hidden="false" customHeight="true" outlineLevel="0" collapsed="false">
      <c r="A18" s="30" t="s">
        <v>423</v>
      </c>
      <c r="B18" s="30"/>
    </row>
    <row r="19" customFormat="false" ht="18" hidden="false" customHeight="true" outlineLevel="0" collapsed="false">
      <c r="A19" s="26" t="s">
        <v>419</v>
      </c>
      <c r="B19" s="9" t="s">
        <v>424</v>
      </c>
    </row>
    <row r="20" customFormat="false" ht="18" hidden="false" customHeight="true" outlineLevel="0" collapsed="false">
      <c r="A20" s="27" t="s">
        <v>425</v>
      </c>
      <c r="B20" s="6" t="s">
        <v>426</v>
      </c>
    </row>
    <row r="21" customFormat="false" ht="18" hidden="false" customHeight="true" outlineLevel="0" collapsed="false">
      <c r="A21" s="26" t="s">
        <v>427</v>
      </c>
      <c r="B21" s="9" t="s">
        <v>428</v>
      </c>
    </row>
    <row r="22" customFormat="false" ht="18" hidden="false" customHeight="true" outlineLevel="0" collapsed="false">
      <c r="A22" s="27" t="s">
        <v>429</v>
      </c>
      <c r="B22" s="31" t="s">
        <v>430</v>
      </c>
    </row>
    <row r="23" customFormat="false" ht="18" hidden="false" customHeight="true" outlineLevel="0" collapsed="false">
      <c r="A23" s="26" t="s">
        <v>431</v>
      </c>
      <c r="B23" s="32" t="s">
        <v>432</v>
      </c>
    </row>
    <row r="24" customFormat="false" ht="18" hidden="false" customHeight="true" outlineLevel="0" collapsed="false">
      <c r="A24" s="27"/>
      <c r="B24" s="6"/>
    </row>
    <row r="25" customFormat="false" ht="18" hidden="false" customHeight="true" outlineLevel="0" collapsed="false">
      <c r="A25" s="30" t="s">
        <v>433</v>
      </c>
      <c r="B25" s="30"/>
    </row>
    <row r="26" customFormat="false" ht="18" hidden="false" customHeight="true" outlineLevel="0" collapsed="false">
      <c r="A26" s="27" t="s">
        <v>434</v>
      </c>
      <c r="B26" s="6" t="s">
        <v>435</v>
      </c>
    </row>
    <row r="27" customFormat="false" ht="18" hidden="false" customHeight="true" outlineLevel="0" collapsed="false">
      <c r="A27" s="26" t="s">
        <v>436</v>
      </c>
      <c r="B27" s="9" t="s">
        <v>437</v>
      </c>
    </row>
    <row r="28" customFormat="false" ht="18" hidden="false" customHeight="true" outlineLevel="0" collapsed="false">
      <c r="A28" s="27" t="s">
        <v>438</v>
      </c>
      <c r="B28" s="6" t="s">
        <v>439</v>
      </c>
    </row>
    <row r="29" customFormat="false" ht="18" hidden="false" customHeight="true" outlineLevel="0" collapsed="false">
      <c r="A29" s="26" t="s">
        <v>440</v>
      </c>
      <c r="B29" s="9" t="s">
        <v>441</v>
      </c>
    </row>
    <row r="30" customFormat="false" ht="18" hidden="false" customHeight="true" outlineLevel="0" collapsed="false">
      <c r="A30" s="27" t="s">
        <v>442</v>
      </c>
      <c r="B30" s="6" t="s">
        <v>443</v>
      </c>
    </row>
    <row r="31" customFormat="false" ht="18" hidden="false" customHeight="true" outlineLevel="0" collapsed="false">
      <c r="A31" s="26"/>
      <c r="B31" s="9"/>
    </row>
    <row r="32" customFormat="false" ht="18" hidden="false" customHeight="true" outlineLevel="0" collapsed="false">
      <c r="A32" s="30" t="s">
        <v>444</v>
      </c>
      <c r="B32" s="30"/>
    </row>
    <row r="33" customFormat="false" ht="18" hidden="false" customHeight="true" outlineLevel="0" collapsed="false">
      <c r="A33" s="26" t="s">
        <v>445</v>
      </c>
      <c r="B33" s="32" t="s">
        <v>446</v>
      </c>
    </row>
    <row r="34" customFormat="false" ht="18" hidden="false" customHeight="true" outlineLevel="0" collapsed="false">
      <c r="A34" s="27"/>
      <c r="B34" s="31" t="s">
        <v>430</v>
      </c>
    </row>
    <row r="35" customFormat="false" ht="18" hidden="false" customHeight="true" outlineLevel="0" collapsed="false">
      <c r="A35" s="26"/>
      <c r="B35" s="9" t="s">
        <v>447</v>
      </c>
    </row>
    <row r="36" customFormat="false" ht="18" hidden="false" customHeight="true" outlineLevel="0" collapsed="false">
      <c r="A36" s="27" t="s">
        <v>448</v>
      </c>
      <c r="B36" s="31" t="s">
        <v>449</v>
      </c>
    </row>
  </sheetData>
  <mergeCells count="6">
    <mergeCell ref="A1:D1"/>
    <mergeCell ref="A3:B3"/>
    <mergeCell ref="A12:B12"/>
    <mergeCell ref="A18:B18"/>
    <mergeCell ref="A25:B25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2026-03-17T02:14:56Z</dcterms:created>
  <dc:creator>openpyxl</dc:creator>
  <dc:description/>
  <dc:language>en-US</dc:language>
  <cp:lastModifiedBy/>
  <dcterms:modified xsi:type="dcterms:W3CDTF">2026-03-17T02:15:15Z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